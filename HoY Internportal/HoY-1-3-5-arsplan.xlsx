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MEG" sheetId="1" state="visible" r:id="rId1"/>
    <sheet xmlns:r="http://schemas.openxmlformats.org/officeDocument/2006/relationships" name="Historikk" sheetId="2" state="visible" r:id="rId2"/>
    <sheet xmlns:r="http://schemas.openxmlformats.org/officeDocument/2006/relationships" name="Økonomimotor" sheetId="3" state="visible" r:id="rId3"/>
    <sheet xmlns:r="http://schemas.openxmlformats.org/officeDocument/2006/relationships" name="1-3-5 Plan" sheetId="4" state="visible" r:id="rId4"/>
    <sheet xmlns:r="http://schemas.openxmlformats.org/officeDocument/2006/relationships" name="Spaker" sheetId="5" state="visible" r:id="rId5"/>
    <sheet xmlns:r="http://schemas.openxmlformats.org/officeDocument/2006/relationships" name="Likviditet" sheetId="6" state="visible" r:id="rId6"/>
    <sheet xmlns:r="http://schemas.openxmlformats.org/officeDocument/2006/relationships" name="Forutsetninger" sheetId="7" state="visible" r:id="rId7"/>
    <sheet xmlns:r="http://schemas.openxmlformats.org/officeDocument/2006/relationships" name="Weekly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%"/>
    <numFmt numFmtId="166" formatCode="0.000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3D2E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008000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D2E"/>
      </patternFill>
    </fill>
    <fill>
      <patternFill patternType="solid">
        <fgColor rgb="00FFFF00"/>
      </patternFill>
    </fill>
    <fill>
      <patternFill patternType="solid">
        <fgColor rgb="00DCE6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6" fillId="4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5" fontId="6" fillId="0" borderId="0" pivotButton="0" quotePrefix="0" xfId="0"/>
    <xf numFmtId="164" fontId="4" fillId="0" borderId="0" pivotButton="0" quotePrefix="0" xfId="0"/>
    <xf numFmtId="164" fontId="6" fillId="0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1" fontId="7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67" fontId="4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1" fontId="9" fillId="0" borderId="1" applyAlignment="1" pivotButton="0" quotePrefix="0" xfId="0">
      <alignment horizontal="right"/>
    </xf>
    <xf numFmtId="164" fontId="5" fillId="3" borderId="0" pivotButton="0" quotePrefix="0" xfId="0"/>
    <xf numFmtId="167" fontId="8" fillId="0" borderId="1" applyAlignment="1" pivotButton="0" quotePrefix="0" xfId="0">
      <alignment horizontal="right"/>
    </xf>
    <xf numFmtId="164" fontId="9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0" fontId="2" fillId="0" borderId="0" applyAlignment="1" pivotButton="0" quotePrefix="0" xfId="0">
      <alignment vertical="top" wrapText="1"/>
    </xf>
    <xf numFmtId="1" fontId="5" fillId="3" borderId="0" pivotButton="0" quotePrefix="0" xfId="0"/>
    <xf numFmtId="165" fontId="5" fillId="3" borderId="0" pivotButton="0" quotePrefix="0" xfId="0"/>
    <xf numFmtId="165" fontId="4" fillId="0" borderId="0" pivotButton="0" quotePrefix="0" xfId="0"/>
    <xf numFmtId="1" fontId="2" fillId="0" borderId="0" pivotButton="0" quotePrefix="0" xfId="0"/>
    <xf numFmtId="165" fontId="5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center"/>
    </xf>
    <xf numFmtId="2" fontId="4" fillId="0" borderId="0" pivotButton="0" quotePrefix="0" xfId="0"/>
    <xf numFmtId="2" fontId="6" fillId="0" borderId="0" pivotButton="0" quotePrefix="0" xfId="0"/>
    <xf numFmtId="1" fontId="4" fillId="0" borderId="0" pivotButton="0" quotePrefix="0" xfId="0"/>
    <xf numFmtId="0" fontId="8" fillId="0" borderId="0" pivotButton="0" quotePrefix="0" xfId="0"/>
    <xf numFmtId="164" fontId="2" fillId="0" borderId="0" pivotButton="0" quotePrefix="0" xfId="0"/>
    <xf numFmtId="10" fontId="4" fillId="0" borderId="0" pivotButton="0" quotePrefix="0" xfId="0"/>
    <xf numFmtId="166" fontId="5" fillId="3" borderId="0" pivotButton="0" quotePrefix="0" xfId="0"/>
    <xf numFmtId="2" fontId="5" fillId="3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167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LES MEG — hele modellen forklart i klartekst</t>
        </is>
      </c>
    </row>
    <row r="4">
      <c r="A4" s="2" t="inlineStr">
        <is>
          <t>HVA MODELLEN GJØR, I ÉN SETNING</t>
        </is>
      </c>
    </row>
    <row r="5" ht="28" customHeight="1">
      <c r="A5" s="3" t="inlineStr">
        <is>
          <t>Den oversetter resultatmålet ditt (1,5M → 3M → 5M før skatt) til: hvor mange båter som må selges, hvor mange meglere det krever, hva de koster, og hva dere derfor må gjøre hver uke. Charter holdes helt utenfor.</t>
        </is>
      </c>
    </row>
    <row r="7">
      <c r="A7" s="2" t="inlineStr">
        <is>
          <t>FARGEKODENE</t>
        </is>
      </c>
    </row>
    <row r="8" ht="15" customHeight="1">
      <c r="A8" s="3" t="inlineStr">
        <is>
          <t>GUL celle med blå skrift = et VALG du kan endre — alt annet regner seg om automatisk.</t>
        </is>
      </c>
    </row>
    <row r="9" ht="15" customHeight="1">
      <c r="A9" s="3" t="inlineStr">
        <is>
          <t>Svart skrift = utregnet av modellen. Grønn skrift = hentet fra et annet ark. Rød = et gap/avvik du skal styre på.</t>
        </is>
      </c>
    </row>
    <row r="11">
      <c r="A11" s="2" t="inlineStr">
        <is>
          <t>DE FEM TALLENE SOM STYRER ALT (alle i Forutsetninger)</t>
        </is>
      </c>
    </row>
    <row r="12" ht="42" customHeight="1">
      <c r="A12" s="3" t="inlineStr">
        <is>
          <t>1. INNTEKT PER SOLGT BÅT: 58 375 kr ex mva. Målt av oppgjørslistene dine: 4 378 153 kr provisjon delt på 75 solgte båter siste 12 mnd. Vil du ha 1 million mer i omsetning, må dere selge ca. 17 båter mer — eller øke dette tallet (dyrere båter / 6 %-disiplin).</t>
        </is>
      </c>
    </row>
    <row r="13" ht="42" customHeight="1">
      <c r="A13" s="3" t="inlineStr">
        <is>
          <t>2. OMSETNING PER MEGLER-STOL: 1,5M per år for en ferdig opplært megler. Tellemåten er KREDITERT omsetning (50/50-splitt når én henter og en annen selger — det lønna følger): Henrik 1,84M, Daniel 0,88M siste 12 mnd. 1,5M er plantallet ditt.</t>
        </is>
      </c>
    </row>
    <row r="14" ht="28" customHeight="1">
      <c r="A14" s="3" t="inlineStr">
        <is>
          <t>3. MEGLERKOST: 55 øre av hver megler-krone går til megleren (40 % provisjon + arbeidsgiveravgift + feriepenger). Firmaet beholder 45 øre FØR andre kostnader.</t>
        </is>
      </c>
    </row>
    <row r="15" ht="56" customHeight="1">
      <c r="A15" s="3" t="inlineStr">
        <is>
          <t>4. KOSTBASE: 1,88M i året dekker dagens drift (Marte, Philip, kontor, systemer, avskrivning). Vokser dere, vokser den TRINNVIS (fasit-basert fra kostnadsbudsjettet): +60k per megler utover 2 (parkering/lisenser/telefon), +75k engangs per nyansettelse, +900k salgsleder ved 5, +300k kontorutvidelse ved 6 (plassholder — sjekk leieavtalen), +500k backoffice ved 8.</t>
        </is>
      </c>
    </row>
    <row r="16" ht="42" customHeight="1">
      <c r="A16" s="3" t="inlineStr">
        <is>
          <t>5. DIN EGEN LØNN: kappet på 7,1G = 969 498 kr — pensjonsopptjeningstaket; over dette lønner utbytte seg. Antas å inkludere feriepenger (12 %) → grunnlønn ≈ 865 623 (Marius bekrefter). Alt du selger utover ca. 2,15M koster ikke firmaet mer lønn — din marginale omsetning er den mest lønnsomme i selskapet.</t>
        </is>
      </c>
    </row>
    <row r="18">
      <c r="A18" s="2" t="inlineStr">
        <is>
          <t>SLIK REGNES ETT ÅR UT — 2027 MED TALL (følg med i Økonomimotor-arket)</t>
        </is>
      </c>
    </row>
    <row r="19" ht="56" customHeight="1">
      <c r="A19" s="3" t="inlineStr">
        <is>
          <t>STEG 1 — Hvem selger? Bemanningsplanen sier: 2 ferdige meglere ved nyttår + 3 nyansettelser (Q1, Q2, Q3). En nyansatt yter 40 % første kvartal, 75 % neste, så 100 % — empirien (Henrik nesten full fart i år 1, Daniel to år) sier profilen er persondrevet; dette er litt under snittet av de to. Regnet om blir det 3,61 «hele» meglere i snitt gjennom året (rad 15).</t>
        </is>
      </c>
    </row>
    <row r="20" ht="42" customHeight="1">
      <c r="A20" s="3" t="inlineStr">
        <is>
          <t>STEG 2 — Hva selger de? 3,61 meglere × 1,5M + deg selv (2,3M) = 7,72M omsetning (rad 21). Delt på 58 375 = ca. 132 båter (rad 22). Ganger 1,30 = ca. 172 oppdrag som må signeres, for erfaringen viser at ikke alle signerte selges (rad 23).</t>
        </is>
      </c>
    </row>
    <row r="21" ht="42" customHeight="1">
      <c r="A21" s="3" t="inlineStr">
        <is>
          <t>STEG 3 — Hva koster det? Meglerne: 55 % av deres 5,42M = 2,98M. Din lønn: 1,13M (7,1G + avgifter). Markedsføring: 6 600 kr × 172 oppdrag = 1,13M. Kostbase: 1,88M + 135k trinnkost + 225k rekruttering (3 ansettelser) + salgsleder 900k = 3,14M.</t>
        </is>
      </c>
    </row>
    <row r="22" ht="28" customHeight="1">
      <c r="A22" s="3" t="inlineStr">
        <is>
          <t>STEG 4 — Resultat: 7,72M − 2,98M − 1,13M − 1,13M − 3,14M = MINUS 666 000 (rad 28). Gapet mot målet på +1,5M er altså 2,2M (rad 29). DET er tallet som forteller at 2027-målet ikke nås med denne planen og dagens økonomi.</t>
        </is>
      </c>
    </row>
    <row r="24">
      <c r="A24" s="2" t="inlineStr">
        <is>
          <t>HVA 2027-PLANEN FAKTISK ER (les dette høyt)</t>
        </is>
      </c>
    </row>
    <row r="25" ht="56" customHeight="1">
      <c r="A25" s="3" t="inlineStr">
        <is>
          <t>2027-planen er IKKE en plan for å nå 1,5M. Baseline gir −666k; spakene løfter ~944k til +278k — dere mangler fortsatt ca. 1,22M mot resultatmålet. 2027-planen er en plan for å: (1) absorbere Daniel-effekten, (2) bygge opp kapasitet, (3) BEVISE at spakene fungerer, (4) avslutte året med positivt resultat. Det er helt greit — men ikke forveksle «økonomisk vanntett» med «strategisk ferdig».</t>
        </is>
      </c>
    </row>
    <row r="26" ht="42" customHeight="1">
      <c r="A26" s="3" t="inlineStr">
        <is>
          <t>Spak-scenarioet gir +278k i 2027 under planlagt ramp. Resultatmålet på 1,5M krever høyere produksjon enn dagens innfasingsplan, eller bedre økonomi per båt enn scenarioforutsetningene. (Merk: 3,7 producing FTE er et STEADY-STATE-behov; i innfasingsåret leverer dere 3,61 FTE, og derfor blir resultatet lavere enn 1,5M — ikke bland de to.)</t>
        </is>
      </c>
    </row>
    <row r="27" ht="28" customHeight="1">
      <c r="A27" s="3" t="inlineStr">
        <is>
          <t>Neste beslutning er derfor ikke «skal vi vokse?», men «har vi nok cash til å finansiere rampen, og hvilke spaker må bevises før neste ansettelse?». Svaret ligger nå i Likviditet-arket — se laveste kontantsaldo under rampen.</t>
        </is>
      </c>
    </row>
    <row r="29">
      <c r="A29" s="2" t="inlineStr">
        <is>
          <t>HVORFOR STÅR DET SÅ STORE TALL UNDER «BEHOV»?</t>
        </is>
      </c>
    </row>
    <row r="30" ht="84" customHeight="1">
      <c r="A30" s="3" t="inlineStr">
        <is>
          <t>Behov-delen svarer på motsatt spørsmål: hva MÅTTE omsetningen vært for å nå målet? Her ligger felle nr. 1 som rådgiveren fant: flere meglere → høyere kostbase → enda mer omsetning trengs → enda flere meglere. Modellen løser det nå ved å regne tre scenarioer (uten leder / med leder / med leder+backoffice) og velge det som henger sammen med sitt eget antall stoler. Svaret for 2027: ca. 18M omsetning og 10,5 producing FTE ≈ 11 bemannede meglere (12 med buffer). NB: FTE er produksjonskapasitet, ikke personer — i et innfasingsår trengs flere bemannede enn FTE fordi nyansatte yter 40–100 %. Uansett: veien til målet er IKKE antall hoder, men bedre økonomi per båt (se Spaker).</t>
        </is>
      </c>
    </row>
    <row r="32">
      <c r="A32" s="2" t="inlineStr">
        <is>
          <t>SPAKER-ARKET — DEN REALISTISKE VEIEN</t>
        </is>
      </c>
    </row>
    <row r="33" ht="56" customHeight="1">
      <c r="A33" s="3" t="inlineStr">
        <is>
          <t>Samme bemanningsplan, men med: 6 %-provisjon håndhevet + dyrere båter i snitt (76 800/båt), markedskost ned til 4 552, og stoler som leverer 1,8M. Da blir resultatet ca. +0,3M i 2027, +1,8M i 2029 og +3,7M i 2031 — uten én ekstra ansettelse utover planen. Konklusjon: spakene er verdt mer enn nye stoler, og de bør trekkes FØR dere rekrutterer bredt.</t>
        </is>
      </c>
    </row>
    <row r="35">
      <c r="A35" s="2" t="inlineStr">
        <is>
          <t>HVA ER FAKTA, HVA ER ANTAKELSER, HVA ER PROXY?</t>
        </is>
      </c>
    </row>
    <row r="36" ht="28" customHeight="1">
      <c r="A36" s="3" t="inlineStr">
        <is>
          <t>FAKTA (fasit): 58 375/båt, 75 båter, per-megler-tall, salgstid 89 dg, kohorten. Kilde: oppgjørslistene + HubSpot, definert per rad i Forutsetninger.</t>
        </is>
      </c>
    </row>
    <row r="37" ht="28" customHeight="1">
      <c r="A37" s="3" t="inlineStr">
        <is>
          <t>PLANANTAKELSE (gule celler — dine valg): 1,30 oppdrag/salg (målt 1,38 på modne), stol = 1,5M, ramp-profilen, alle trinnkostene, 2,3M til deg selv.</t>
        </is>
      </c>
    </row>
    <row r="38" ht="28" customHeight="1">
      <c r="A38" s="3" t="inlineStr">
        <is>
          <t>PROXY (midlertidig tall til det er målt): 68 % «befaring→signering» er egentlig vinnraten i hele Pipeline A. 50 % prospect→befaring er et plantall. Begge byttes ut når de er målt separat — de står på Mangler-listen.</t>
        </is>
      </c>
    </row>
    <row r="40">
      <c r="A40" s="2" t="inlineStr">
        <is>
          <t>SLIK FINNER DU FEIL SELV (kontrollpunktene)</t>
        </is>
      </c>
    </row>
    <row r="41" ht="28" customHeight="1">
      <c r="A41" s="3" t="inlineStr">
        <is>
          <t>1. Økonomimotor rad 38: snittet av kvartals-FTE-ene skal være lik årets FTE (rad 15), og kvartalsomsetningene skal summere til rad 21.</t>
        </is>
      </c>
    </row>
    <row r="42" ht="28" customHeight="1">
      <c r="A42" s="3" t="inlineStr">
        <is>
          <t>2. P&amp;L-linjene (rad 21 og 24–27) skal alltid summere nøyaktig til resultatet i rad 28 — det er hele regnestykket, ingenting er skjult.</t>
        </is>
      </c>
    </row>
    <row r="43" ht="28" customHeight="1">
      <c r="A43" s="3" t="inlineStr">
        <is>
          <t>3. Historikk-arket: fasit-tallene skal stemme mot oppgjørslistene dine, og resultatbroen mot årsregnskapet (rest på 705k skal avstemmes med Marius).</t>
        </is>
      </c>
    </row>
    <row r="44" ht="28" customHeight="1">
      <c r="A44" s="3" t="inlineStr">
        <is>
          <t>4. Endrer du en gul celle og et tall IKKE beveger seg som du forventer — da har enten du eller modellen misforstått noe. Si fra.</t>
        </is>
      </c>
    </row>
    <row r="46">
      <c r="A46" s="2" t="inlineStr">
        <is>
          <t>HVA SOM STYRES HVOR</t>
        </is>
      </c>
    </row>
    <row r="47" ht="42" customHeight="1">
      <c r="A47" s="3" t="inlineStr">
        <is>
          <t>Ukentlig drift: Weekly Scorecard (H2-rest-målet: 126 330 kr/uke). Kvartal: kvartalsmålene i Økonomimotor. Året/strategien: resultat-gapet og rekrutteringsgapet i 1-3-5 Plan. Rådgivers vurdering: H2-delen er klar til bruk; 2027–2031 er retningsgivende til trinnkostene er kalibrert og proxyene målt.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HISTORIKK — fasit, kohort og resultatbro</t>
        </is>
      </c>
    </row>
    <row r="2">
      <c r="A2" s="4" t="inlineStr">
        <is>
          <t>Alt her er MÅLT (oppgjørslister/regnskap/HubSpot) — ingen mål eller antakelser. Charter holdt utenfor båt-tallene.</t>
        </is>
      </c>
    </row>
    <row r="4">
      <c r="A4" s="2" t="inlineStr">
        <is>
          <t>FASIT SISTE 12 MND (oppgjørslister, 27.08.2025–26.08.2026, ex charter)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Båter solgt</t>
        </is>
      </c>
      <c r="B5" s="7" t="n">
        <v>75</v>
      </c>
      <c r="C5" s="4" t="inlineStr"/>
    </row>
    <row r="6">
      <c r="A6" s="6" t="inlineStr">
        <is>
          <t>Omsetning ex mva (provisjon)</t>
        </is>
      </c>
      <c r="B6" s="8" t="n">
        <v>4378153</v>
      </c>
      <c r="C6" s="4" t="inlineStr">
        <is>
          <t>alle 75 med beløp — fasit, ikke HubSpot</t>
        </is>
      </c>
    </row>
    <row r="7">
      <c r="A7" s="6" t="inlineStr">
        <is>
          <t>Snitt / median per båt</t>
        </is>
      </c>
      <c r="B7" s="8" t="n">
        <v>58375</v>
      </c>
      <c r="C7" s="4" t="inlineStr">
        <is>
          <t>median 50 400</t>
        </is>
      </c>
    </row>
    <row r="8">
      <c r="A8" s="6" t="inlineStr">
        <is>
          <t>Snitt / median salgssum</t>
        </is>
      </c>
      <c r="B8" s="8" t="n">
        <v>1260458</v>
      </c>
      <c r="C8" s="4" t="inlineStr">
        <is>
          <t>median 1 065 000; eff. provisjonsgrad 5,79 % inkl mva</t>
        </is>
      </c>
    </row>
    <row r="9">
      <c r="A9" s="6" t="inlineStr">
        <is>
          <t>Charter (egen enhet, utenfor motoren)</t>
        </is>
      </c>
      <c r="B9" s="8" t="n">
        <v>170000</v>
      </c>
      <c r="C9" s="4" t="inlineStr">
        <is>
          <t>1 oppdrag (AD Astra)</t>
        </is>
      </c>
    </row>
    <row r="11">
      <c r="A11" s="2" t="inlineStr">
        <is>
          <t>PER MEGLER — TRE MÅTER Å TELLE (alle fra oppgjørslistene)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4" t="inlineStr">
        <is>
          <t>OPPDRAG INN = hvem hentet oppdraget · SOLGT AV = hvem lukket salget · KREDITERT = 50/50-splitt ved samarbeid — det lønna følger, og det stol-tallene i modellen bruker.</t>
        </is>
      </c>
    </row>
    <row r="13">
      <c r="A13" s="9" t="inlineStr">
        <is>
          <t>Megler</t>
        </is>
      </c>
      <c r="B13" s="9" t="inlineStr">
        <is>
          <t>Kreditert 12 mnd</t>
        </is>
      </c>
      <c r="C13" s="9" t="inlineStr">
        <is>
          <t>Solgt av 12 mnd</t>
        </is>
      </c>
      <c r="D13" s="9" t="inlineStr">
        <is>
          <t>Kreditert 2025</t>
        </is>
      </c>
      <c r="E13" s="9" t="inlineStr">
        <is>
          <t>Solgt av 2025</t>
        </is>
      </c>
      <c r="F13" s="9" t="inlineStr">
        <is>
          <t>Oppdrag inn 2025</t>
        </is>
      </c>
    </row>
    <row r="14">
      <c r="A14" s="10" t="inlineStr">
        <is>
          <t>Henrik (+Marte)</t>
        </is>
      </c>
      <c r="B14" s="11" t="n">
        <v>1838820</v>
      </c>
      <c r="C14" s="11" t="n">
        <v>2007420</v>
      </c>
      <c r="D14" s="11" t="n">
        <v>1599192</v>
      </c>
      <c r="E14" s="11" t="n">
        <v>1962912</v>
      </c>
      <c r="F14" s="11" t="n">
        <v>1156272</v>
      </c>
    </row>
    <row r="15">
      <c r="A15" s="10" t="inlineStr">
        <is>
          <t>Sindre</t>
        </is>
      </c>
      <c r="B15" s="11" t="n">
        <v>1491253</v>
      </c>
      <c r="C15" s="11" t="n">
        <v>1309453</v>
      </c>
      <c r="D15" s="11" t="n">
        <v>2083205</v>
      </c>
      <c r="E15" s="11" t="n">
        <v>1597805</v>
      </c>
      <c r="F15" s="11" t="n">
        <v>2532605</v>
      </c>
    </row>
    <row r="16">
      <c r="A16" s="10" t="inlineStr">
        <is>
          <t>Daniel (slutter)</t>
        </is>
      </c>
      <c r="B16" s="11" t="n">
        <v>882480</v>
      </c>
      <c r="C16" s="11" t="n">
        <v>953280</v>
      </c>
      <c r="D16" s="11" t="n">
        <v>532320</v>
      </c>
      <c r="E16" s="11" t="n">
        <v>570000</v>
      </c>
      <c r="F16" s="11" t="n">
        <v>494640</v>
      </c>
    </row>
    <row r="17">
      <c r="A17" s="10" t="inlineStr">
        <is>
          <t>Jeanette (sluttet)</t>
        </is>
      </c>
      <c r="B17" s="11" t="n">
        <v>165600</v>
      </c>
      <c r="C17" s="11" t="n">
        <v>108000</v>
      </c>
      <c r="D17" s="11" t="n">
        <v>642800</v>
      </c>
      <c r="E17" s="11" t="n">
        <v>726800</v>
      </c>
      <c r="F17" s="11" t="n">
        <v>674000</v>
      </c>
    </row>
    <row r="18">
      <c r="A18" s="12" t="inlineStr">
        <is>
          <t>Sum</t>
        </is>
      </c>
      <c r="B18" s="8">
        <f>SUM(B14:B17)</f>
        <v/>
      </c>
      <c r="C18" s="8">
        <f>SUM(C14:C17)</f>
        <v/>
      </c>
      <c r="D18" s="8">
        <f>SUM(D14:D17)</f>
        <v/>
      </c>
      <c r="E18" s="8">
        <f>SUM(E14:E17)</f>
        <v/>
      </c>
      <c r="F18" s="8">
        <f>SUM(F14:F17)</f>
        <v/>
      </c>
    </row>
    <row r="19">
      <c r="A19" s="4" t="inlineStr">
        <is>
          <t>Sindre er ANSKAFFELSESMOTOREN (2,5M i oppdrag inn 2025), Henrik er LUKKEMOTOREN (2,0M solgt av) — ~630k av Henriks salg i 2025 var Sindres oppdrag (delt 50/50 i oppgjøret).</t>
        </is>
      </c>
    </row>
    <row r="20">
      <c r="A20" s="6" t="inlineStr">
        <is>
          <t>RAMP-EMPIRI: Henrik startet mars 2025 → år 1 KREDITERT 1 599 192 (1,9M-rate, delvis ved å lukke Sindres oppdrag). Daniel startet april 2025 → år 1 kreditert 532 320 (0,71M-rate).</t>
        </is>
      </c>
    </row>
    <row r="21">
      <c r="A21" s="4" t="inlineStr">
        <is>
          <t>→ Ramp er PERSONDREVET, ikke tidsdrevet — og kan AKSELERERES ved at Sindre mater nye meglere med oppdrag, slik Henrik fikk i 2025. Snitt år 1-rate ≈ 1,3M kreditert (n=2, enorm spredning); churn-bufferen dekker Daniel-utfallet.</t>
        </is>
      </c>
    </row>
    <row r="23">
      <c r="A23" s="2" t="inlineStr">
        <is>
          <t>KOHORT: SIGNERT OPPDRAG → SOLGT (HubSpot Pipeline B, 163 oppdrag siden sep 2024)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4" t="inlineStr">
        <is>
          <t>B-deal opprettet = PROXY for signeringsdato. Closedate delvis bulk-satt (noen umulige salgstider) → indikativt.</t>
        </is>
      </c>
    </row>
    <row r="25">
      <c r="A25" s="9" t="inlineStr">
        <is>
          <t>Signert kvartal</t>
        </is>
      </c>
      <c r="B25" s="9" t="inlineStr">
        <is>
          <t>n</t>
        </is>
      </c>
      <c r="C25" s="9" t="inlineStr">
        <is>
          <t>Solgt</t>
        </is>
      </c>
      <c r="D25" s="9" t="inlineStr">
        <is>
          <t>Tapt</t>
        </is>
      </c>
      <c r="E25" s="9" t="inlineStr">
        <is>
          <t>Åpne</t>
        </is>
      </c>
      <c r="F25" s="9" t="inlineStr">
        <is>
          <t>Solgt ≤90 dg</t>
        </is>
      </c>
      <c r="G25" s="9" t="inlineStr">
        <is>
          <t>Solgt ≤180 dg</t>
        </is>
      </c>
      <c r="H25" s="9" t="inlineStr">
        <is>
          <t>Median dager</t>
        </is>
      </c>
    </row>
    <row r="26">
      <c r="A26" s="13" t="inlineStr">
        <is>
          <t>2025-Q1</t>
        </is>
      </c>
      <c r="B26" s="14" t="n">
        <v>11</v>
      </c>
      <c r="C26" s="14" t="n">
        <v>11</v>
      </c>
      <c r="D26" s="14" t="n">
        <v>0</v>
      </c>
      <c r="E26" s="14" t="n">
        <v>0</v>
      </c>
      <c r="F26" s="14" t="n">
        <v>4</v>
      </c>
      <c r="G26" s="14" t="n">
        <v>8</v>
      </c>
      <c r="H26" s="14" t="n">
        <v>106</v>
      </c>
    </row>
    <row r="27">
      <c r="A27" s="13" t="inlineStr">
        <is>
          <t>2025-Q2</t>
        </is>
      </c>
      <c r="B27" s="14" t="n">
        <v>32</v>
      </c>
      <c r="C27" s="14" t="n">
        <v>20</v>
      </c>
      <c r="D27" s="14" t="n">
        <v>8</v>
      </c>
      <c r="E27" s="14" t="n">
        <v>4</v>
      </c>
      <c r="F27" s="14" t="n">
        <v>9</v>
      </c>
      <c r="G27" s="14" t="n">
        <v>16</v>
      </c>
      <c r="H27" s="14" t="n">
        <v>95</v>
      </c>
    </row>
    <row r="28">
      <c r="A28" s="13" t="inlineStr">
        <is>
          <t>2025-Q3</t>
        </is>
      </c>
      <c r="B28" s="14" t="n">
        <v>25</v>
      </c>
      <c r="C28" s="14" t="n">
        <v>18</v>
      </c>
      <c r="D28" s="14" t="n">
        <v>0</v>
      </c>
      <c r="E28" s="14" t="n">
        <v>7</v>
      </c>
      <c r="F28" s="14" t="n">
        <v>6</v>
      </c>
      <c r="G28" s="14" t="n">
        <v>9</v>
      </c>
      <c r="H28" s="14" t="n">
        <v>189</v>
      </c>
    </row>
    <row r="29">
      <c r="A29" s="13" t="inlineStr">
        <is>
          <t>2025-Q4</t>
        </is>
      </c>
      <c r="B29" s="14" t="n">
        <v>11</v>
      </c>
      <c r="C29" s="14" t="n">
        <v>5</v>
      </c>
      <c r="D29" s="14" t="n">
        <v>5</v>
      </c>
      <c r="E29" s="14" t="n">
        <v>1</v>
      </c>
      <c r="F29" s="14" t="n">
        <v>1</v>
      </c>
      <c r="G29" s="14" t="n">
        <v>4</v>
      </c>
      <c r="H29" s="14" t="n">
        <v>143</v>
      </c>
    </row>
    <row r="30">
      <c r="A30" s="13" t="inlineStr">
        <is>
          <t>2026-Q1</t>
        </is>
      </c>
      <c r="B30" s="14" t="n">
        <v>18</v>
      </c>
      <c r="C30" s="14" t="n">
        <v>9</v>
      </c>
      <c r="D30" s="14" t="n">
        <v>1</v>
      </c>
      <c r="E30" s="14" t="n">
        <v>8</v>
      </c>
      <c r="F30" s="14" t="n">
        <v>4</v>
      </c>
      <c r="G30" s="14" t="n">
        <v>9</v>
      </c>
      <c r="H30" s="14" t="n">
        <v>116</v>
      </c>
    </row>
    <row r="31">
      <c r="A31" s="13" t="inlineStr">
        <is>
          <t>2026-Q2</t>
        </is>
      </c>
      <c r="B31" s="14" t="n">
        <v>49</v>
      </c>
      <c r="C31" s="14" t="n">
        <v>19</v>
      </c>
      <c r="D31" s="14" t="n">
        <v>2</v>
      </c>
      <c r="E31" s="14" t="n">
        <v>28</v>
      </c>
      <c r="F31" s="14" t="n">
        <v>17</v>
      </c>
      <c r="G31" s="14" t="n">
        <v>19</v>
      </c>
      <c r="H31" s="14" t="n">
        <v>47</v>
      </c>
    </row>
    <row r="32">
      <c r="A32" s="13" t="inlineStr">
        <is>
          <t>2026-Q3</t>
        </is>
      </c>
      <c r="B32" s="14" t="n">
        <v>16</v>
      </c>
      <c r="C32" s="14" t="n">
        <v>2</v>
      </c>
      <c r="D32" s="14" t="n">
        <v>0</v>
      </c>
      <c r="E32" s="14" t="n">
        <v>14</v>
      </c>
      <c r="F32" s="14" t="n">
        <v>2</v>
      </c>
      <c r="G32" s="14" t="n">
        <v>2</v>
      </c>
      <c r="H32" s="14" t="inlineStr">
        <is>
          <t>(datofeil)</t>
        </is>
      </c>
    </row>
    <row r="34">
      <c r="A34" s="12" t="inlineStr">
        <is>
          <t>MODNE kohorter (signert &gt;365 dg siden, n=58)</t>
        </is>
      </c>
      <c r="B34" s="6" t="inlineStr">
        <is>
          <t>72 % solgt · 14 % tapt · 14 % fortsatt åpne</t>
        </is>
      </c>
    </row>
    <row r="35">
      <c r="A35" s="12" t="inlineStr">
        <is>
          <t>→ Signerte oppdrag per salg (modne)</t>
        </is>
      </c>
      <c r="B35" s="6" t="inlineStr">
        <is>
          <t>58/42 = 1,38 (hvis alle 8 åpne selges: 58/50 = 1,16)</t>
        </is>
      </c>
    </row>
    <row r="36">
      <c r="A36" s="12" t="inlineStr">
        <is>
          <t>Salgstid (85 solgte av 163 oppdrag sep-24→nå)</t>
        </is>
      </c>
      <c r="B36" s="6" t="inlineStr">
        <is>
          <t>median 89 dg · snitt 123 dg · 51 % ≤90 · 79 % ≤180. NB: annen kilde/periode (HubSpot, 24 mnd) enn fasitens 75 siste 12 mnd</t>
        </is>
      </c>
    </row>
    <row r="38">
      <c r="A38" s="2" t="inlineStr">
        <is>
          <t>PIPELINE A — OPPDRAG INN (HubSpot, siste 12 mnd per 26.08.2026)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s="6" t="inlineStr">
        <is>
          <t>Nye prospects (deals opprettet)</t>
        </is>
      </c>
      <c r="B39" s="12" t="n">
        <v>133</v>
      </c>
    </row>
    <row r="40">
      <c r="A40" s="6" t="inlineStr">
        <is>
          <t>Signert oppdragsavtale (Vunnet)</t>
        </is>
      </c>
      <c r="B40" s="12" t="n">
        <v>67</v>
      </c>
    </row>
    <row r="41">
      <c r="A41" s="6" t="inlineStr">
        <is>
          <t>Tapt</t>
        </is>
      </c>
      <c r="B41" s="12" t="n">
        <v>32</v>
      </c>
    </row>
    <row r="42">
      <c r="A42" s="6" t="inlineStr">
        <is>
          <t>Fortsatt åpne</t>
        </is>
      </c>
      <c r="B42" s="12" t="n">
        <v>34</v>
      </c>
    </row>
    <row r="43">
      <c r="A43" s="6" t="inlineStr">
        <is>
          <t>Vinnrate av avgjorte (67/99) — PROXY</t>
        </is>
      </c>
      <c r="B43" s="15" t="n">
        <v>0.68</v>
      </c>
      <c r="C43" s="4" t="inlineStr">
        <is>
          <t>Prospect→befaring per megler (CFO-analyse): Sindre 74 % · Daniel 52 % · Henrik+Marte 28 %</t>
        </is>
      </c>
    </row>
    <row r="45">
      <c r="A45" s="2" t="inlineStr">
        <is>
          <t>RESULTATBRO 2025 — fra regnskap til modell (avstem «rest» med Marius)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12" t="inlineStr">
        <is>
          <t>Sum driftsinntekter, årsregnskap 2025</t>
        </is>
      </c>
      <c r="B46" s="8" t="n">
        <v>6174978</v>
      </c>
      <c r="C46" s="4" t="inlineStr">
        <is>
          <t>Endelig årsregnskap, signert 16.06.26</t>
        </is>
      </c>
    </row>
    <row r="47">
      <c r="A47" s="12" t="inlineStr">
        <is>
          <t>Omsetning oppgjørsbasis ex mva 2025</t>
        </is>
      </c>
      <c r="B47" s="8" t="n">
        <v>4857517</v>
      </c>
      <c r="C47" s="4" t="inlineStr">
        <is>
          <t>Oppgjørslisten 2025</t>
        </is>
      </c>
    </row>
    <row r="48">
      <c r="A48" s="12" t="inlineStr">
        <is>
          <t>Differanse inntektssiden</t>
        </is>
      </c>
      <c r="B48" s="8">
        <f>B46-B47</f>
        <v/>
      </c>
      <c r="C48" s="4" t="inlineStr">
        <is>
          <t>forklares delvis under:</t>
        </is>
      </c>
    </row>
    <row r="49">
      <c r="A49" s="6" t="inlineStr">
        <is>
          <t xml:space="preserve">  herav engangs «rydding»-inntekt (3900)</t>
        </is>
      </c>
      <c r="B49" s="16" t="n">
        <v>200000</v>
      </c>
      <c r="C49" s="4" t="inlineStr">
        <is>
          <t>ca-beløp</t>
        </is>
      </c>
    </row>
    <row r="50">
      <c r="A50" s="6" t="inlineStr">
        <is>
          <t xml:space="preserve">  herav Serotonic-gjennomstrømming</t>
        </is>
      </c>
      <c r="B50" s="16" t="n">
        <v>412000</v>
      </c>
      <c r="C50" s="4" t="inlineStr">
        <is>
          <t>inntekt m/motsvarende kostnad, netto ~0</t>
        </is>
      </c>
    </row>
    <row r="51">
      <c r="A51" s="6" t="inlineStr">
        <is>
          <t xml:space="preserve">  herav rest — MÅ AVSTEMMES</t>
        </is>
      </c>
      <c r="B51" s="16">
        <f>B48-B49-B50</f>
        <v/>
      </c>
      <c r="C51" s="4" t="inlineStr">
        <is>
          <t>periodisering 3090, mva-føring, annet — Marius (RVT)</t>
        </is>
      </c>
    </row>
    <row r="52">
      <c r="A52" s="12" t="inlineStr">
        <is>
          <t>Resultat før skatt 2025, regnskap</t>
        </is>
      </c>
      <c r="B52" s="8" t="n">
        <v>736978</v>
      </c>
      <c r="C52" s="4" t="inlineStr">
        <is>
          <t>løftet av underuttak Sindre + engangsposter</t>
        </is>
      </c>
    </row>
    <row r="53">
      <c r="A53" s="12" t="inlineStr">
        <is>
          <t>Modellert fullastet resultat siste 12 mnd</t>
        </is>
      </c>
      <c r="B53" s="8">
        <f>Økonomimotor!B28</f>
        <v/>
      </c>
      <c r="C53" s="4" t="inlineStr">
        <is>
          <t>negativt: fasit-omsetningen er under dagens break-even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ØKONOMIMOTOR — bemanning → kapasitet → resultat, mot målet</t>
        </is>
      </c>
    </row>
    <row r="2">
      <c r="A2" s="4" t="inlineStr">
        <is>
          <t>v3: motoren regner nå BEGGE veier. Ned: planlagt bemanning (m/ramp) → kapasitet → P&amp;L → resultat → GAP mot mål.</t>
        </is>
      </c>
    </row>
    <row r="3">
      <c r="A3" s="4" t="inlineStr">
        <is>
          <t>Referanse nederst: hvilken omsetning målet KREVER (med samme trinnvise kostbase).</t>
        </is>
      </c>
    </row>
    <row r="5">
      <c r="A5" s="9" t="inlineStr"/>
      <c r="B5" s="9" t="inlineStr">
        <is>
          <t>Målt siste 12 mnd</t>
        </is>
      </c>
      <c r="C5" s="9" t="inlineStr">
        <is>
          <t>År 1 (2027)</t>
        </is>
      </c>
      <c r="D5" s="9" t="inlineStr">
        <is>
          <t>År 3 (2029)</t>
        </is>
      </c>
      <c r="E5" s="9" t="inlineStr">
        <is>
          <t>År 5 (2031)</t>
        </is>
      </c>
    </row>
    <row r="6">
      <c r="A6" s="2" t="inlineStr">
        <is>
          <t>INPUT</t>
        </is>
      </c>
      <c r="B6" s="5" t="n"/>
      <c r="C6" s="5" t="n"/>
      <c r="D6" s="5" t="n"/>
      <c r="E6" s="5" t="n"/>
    </row>
    <row r="7">
      <c r="A7" s="12" t="inlineStr">
        <is>
          <t>Resultatmål før skatt  [målt = regnskap 2025]</t>
        </is>
      </c>
      <c r="B7" s="17" t="n">
        <v>736978</v>
      </c>
      <c r="C7" s="18" t="n">
        <v>1500000</v>
      </c>
      <c r="D7" s="18" t="n">
        <v>3000000</v>
      </c>
      <c r="E7" s="18" t="n">
        <v>5000000</v>
      </c>
    </row>
    <row r="8">
      <c r="A8" s="6" t="inlineStr">
        <is>
          <t>Sindre-stolens omsetning</t>
        </is>
      </c>
      <c r="B8" s="19" t="n">
        <v>1491253</v>
      </c>
      <c r="C8" s="20">
        <f>Forutsetninger!$B$14</f>
        <v/>
      </c>
      <c r="D8" s="20">
        <f>Forutsetninger!$B$14</f>
        <v/>
      </c>
      <c r="E8" s="20">
        <f>Forutsetninger!$B$14</f>
        <v/>
      </c>
    </row>
    <row r="9">
      <c r="A9" s="2" t="inlineStr">
        <is>
          <t>BEMANNINGSPLAN (PLANANTAKELSE — juster og se resultatet endre seg)</t>
        </is>
      </c>
      <c r="B9" s="5" t="n"/>
      <c r="C9" s="5" t="n"/>
      <c r="D9" s="5" t="n"/>
      <c r="E9" s="5" t="n"/>
    </row>
    <row r="10">
      <c r="A10" s="6" t="inlineStr">
        <is>
          <t>Rampede megler-stoler ved årets start</t>
        </is>
      </c>
      <c r="B10" s="21" t="n">
        <v>1</v>
      </c>
      <c r="C10" s="22" t="n">
        <v>2</v>
      </c>
      <c r="D10" s="22" t="n">
        <v>6</v>
      </c>
      <c r="E10" s="22" t="n">
        <v>9</v>
      </c>
    </row>
    <row r="11">
      <c r="A11" s="6" t="inlineStr">
        <is>
          <t>Nyansettelser Q1 (fra kvartalets start)</t>
        </is>
      </c>
      <c r="B11" s="21" t="n">
        <v>0</v>
      </c>
      <c r="C11" s="22" t="n">
        <v>1</v>
      </c>
      <c r="D11" s="22" t="n">
        <v>1</v>
      </c>
      <c r="E11" s="22" t="n">
        <v>1</v>
      </c>
    </row>
    <row r="12">
      <c r="A12" s="6" t="inlineStr">
        <is>
          <t>Nyansettelser Q2</t>
        </is>
      </c>
      <c r="B12" s="21" t="n">
        <v>0</v>
      </c>
      <c r="C12" s="22" t="n">
        <v>1</v>
      </c>
      <c r="D12" s="22" t="n">
        <v>1</v>
      </c>
      <c r="E12" s="22" t="n">
        <v>1</v>
      </c>
    </row>
    <row r="13">
      <c r="A13" s="6" t="inlineStr">
        <is>
          <t>Nyansettelser Q3</t>
        </is>
      </c>
      <c r="B13" s="21" t="n">
        <v>0</v>
      </c>
      <c r="C13" s="22" t="n">
        <v>1</v>
      </c>
      <c r="D13" s="22" t="n">
        <v>0</v>
      </c>
      <c r="E13" s="22" t="n">
        <v>0</v>
      </c>
    </row>
    <row r="14">
      <c r="A14" s="6" t="inlineStr">
        <is>
          <t>Nyansettelser Q4</t>
        </is>
      </c>
      <c r="B14" s="21" t="n">
        <v>0</v>
      </c>
      <c r="C14" s="22" t="n">
        <v>0</v>
      </c>
      <c r="D14" s="22" t="n">
        <v>0</v>
      </c>
      <c r="E14" s="22" t="n">
        <v>0</v>
      </c>
    </row>
    <row r="15">
      <c r="A15" s="12" t="inlineStr">
        <is>
          <t>EFFEKTIVE producing megler-FTE i året (ramp-vektet)</t>
        </is>
      </c>
      <c r="B15" s="23" t="n">
        <v>1</v>
      </c>
      <c r="C15" s="23">
        <f>C10+C11*((3*Forutsetninger!$B$20+3*Forutsetninger!$B$21+6*Forutsetninger!$B$22)/12)+C12*((3*Forutsetninger!$B$20+3*Forutsetninger!$B$21+3*Forutsetninger!$B$22)/12)+C13*((3*Forutsetninger!$B$20+3*Forutsetninger!$B$21)/12)+C14*((3*Forutsetninger!$B$20)/12)</f>
        <v/>
      </c>
      <c r="D15" s="23">
        <f>D10+D11*((3*Forutsetninger!$B$20+3*Forutsetninger!$B$21+6*Forutsetninger!$B$22)/12)+D12*((3*Forutsetninger!$B$20+3*Forutsetninger!$B$21+3*Forutsetninger!$B$22)/12)+D13*((3*Forutsetninger!$B$20+3*Forutsetninger!$B$21)/12)+D14*((3*Forutsetninger!$B$20)/12)</f>
        <v/>
      </c>
      <c r="E15" s="23">
        <f>E10+E11*((3*Forutsetninger!$B$20+3*Forutsetninger!$B$21+6*Forutsetninger!$B$22)/12)+E12*((3*Forutsetninger!$B$20+3*Forutsetninger!$B$21+3*Forutsetninger!$B$22)/12)+E13*((3*Forutsetninger!$B$20+3*Forutsetninger!$B$21)/12)+E14*((3*Forutsetninger!$B$20)/12)</f>
        <v/>
      </c>
    </row>
    <row r="16">
      <c r="A16" s="12" t="inlineStr">
        <is>
          <t>MEGLER-STOLER bemannet ved årets slutt</t>
        </is>
      </c>
      <c r="B16" s="24" t="n">
        <v>1</v>
      </c>
      <c r="C16" s="24">
        <f>C10+SUM(C11:C14)</f>
        <v/>
      </c>
      <c r="D16" s="24">
        <f>D10+SUM(D11:D14)</f>
        <v/>
      </c>
      <c r="E16" s="24">
        <f>E10+SUM(E11:E14)</f>
        <v/>
      </c>
    </row>
    <row r="17">
      <c r="A17" s="6" t="inlineStr">
        <is>
          <t>Gjennomsnittlig bemannede stoler i året (Q1-ansatt teller 100 %, Q2 75 %, Q3 50 %, Q4 25 %)</t>
        </is>
      </c>
      <c r="B17" s="25" t="n">
        <v>1</v>
      </c>
      <c r="C17" s="25">
        <f>C10+C11*1+C12*0.75+C13*0.5+C14*0.25</f>
        <v/>
      </c>
      <c r="D17" s="25">
        <f>D10+D11*1+D12*0.75+D13*0.5+D14*0.25</f>
        <v/>
      </c>
      <c r="E17" s="25">
        <f>E10+E11*1+E12*0.75+E13*0.5+E14*0.25</f>
        <v/>
      </c>
    </row>
    <row r="18">
      <c r="A18" s="2" t="inlineStr">
        <is>
          <t>TRINNVIS KOSTBASE (fasit-basert: 60k/stol + 75k engangs per ansettelse + terskler 5/6/8 på årets slutt)</t>
        </is>
      </c>
      <c r="B18" s="5" t="n"/>
      <c r="C18" s="5" t="n"/>
      <c r="D18" s="5" t="n"/>
      <c r="E18" s="5" t="n"/>
    </row>
    <row r="19">
      <c r="A19" s="12" t="inlineStr">
        <is>
          <t>Kostbase i året, ekskl. markedskost</t>
        </is>
      </c>
      <c r="B19" s="17">
        <f>Forutsetninger!$B$25+MAX(0,B17-2)*Forutsetninger!$B$26+SUM(B11:B14)*Forutsetninger!$B$27+IF(B16&gt;=5,Forutsetninger!$B$29,0)+IF(B16&gt;=6,Forutsetninger!$B$28,0)+IF(B16&gt;=8,Forutsetninger!$B$30,0)</f>
        <v/>
      </c>
      <c r="C19" s="17">
        <f>Forutsetninger!$B$25+MAX(0,C17-2)*Forutsetninger!$B$26+SUM(C11:C14)*Forutsetninger!$B$27+IF(C16&gt;=5,Forutsetninger!$B$29,0)+IF(C16&gt;=6,Forutsetninger!$B$28,0)+IF(C16&gt;=8,Forutsetninger!$B$30,0)</f>
        <v/>
      </c>
      <c r="D19" s="17">
        <f>Forutsetninger!$B$25+MAX(0,D17-2)*Forutsetninger!$B$26+SUM(D11:D14)*Forutsetninger!$B$27+IF(D16&gt;=5,Forutsetninger!$B$29,0)+IF(D16&gt;=6,Forutsetninger!$B$28,0)+IF(D16&gt;=8,Forutsetninger!$B$30,0)</f>
        <v/>
      </c>
      <c r="E19" s="17">
        <f>Forutsetninger!$B$25+MAX(0,E17-2)*Forutsetninger!$B$26+SUM(E11:E14)*Forutsetninger!$B$27+IF(E16&gt;=5,Forutsetninger!$B$29,0)+IF(E16&gt;=6,Forutsetninger!$B$28,0)+IF(E16&gt;=8,Forutsetninger!$B$30,0)</f>
        <v/>
      </c>
    </row>
    <row r="20">
      <c r="A20" s="2" t="inlineStr">
        <is>
          <t>KAPASITET → RESULTAT (P&amp;L på planlagt bemanning)</t>
        </is>
      </c>
      <c r="B20" s="5" t="n"/>
      <c r="C20" s="5" t="n"/>
      <c r="D20" s="5" t="n"/>
      <c r="E20" s="5" t="n"/>
    </row>
    <row r="21">
      <c r="A21" s="12" t="inlineStr">
        <is>
          <t>Kapasitets-omsetning ex mva (FTE × stol + Sindre)</t>
        </is>
      </c>
      <c r="B21" s="17" t="n">
        <v>4378153</v>
      </c>
      <c r="C21" s="17">
        <f>C15*Forutsetninger!$B$13+C8</f>
        <v/>
      </c>
      <c r="D21" s="17">
        <f>D15*Forutsetninger!$B$13+D8</f>
        <v/>
      </c>
      <c r="E21" s="17">
        <f>E15*Forutsetninger!$B$13+E8</f>
        <v/>
      </c>
    </row>
    <row r="22">
      <c r="A22" s="6" t="inlineStr">
        <is>
          <t>Båter solgt (omsetning ÷ inntekt per båt)</t>
        </is>
      </c>
      <c r="B22" s="21" t="n">
        <v>75</v>
      </c>
      <c r="C22" s="21">
        <f>C21/Forutsetninger!$B$5</f>
        <v/>
      </c>
      <c r="D22" s="21">
        <f>D21/Forutsetninger!$B$5</f>
        <v/>
      </c>
      <c r="E22" s="21">
        <f>E21/Forutsetninger!$B$5</f>
        <v/>
      </c>
    </row>
    <row r="23">
      <c r="A23" s="6" t="inlineStr">
        <is>
          <t>Signerte oppdrag inn (båter × 1,30 — planantakelse)</t>
        </is>
      </c>
      <c r="B23" s="21" t="n">
        <v>67</v>
      </c>
      <c r="C23" s="21">
        <f>C22*Forutsetninger!$B$41</f>
        <v/>
      </c>
      <c r="D23" s="21">
        <f>D22*Forutsetninger!$B$41</f>
        <v/>
      </c>
      <c r="E23" s="21">
        <f>E22*Forutsetninger!$B$41</f>
        <v/>
      </c>
    </row>
    <row r="24">
      <c r="A24" s="6" t="inlineStr">
        <is>
          <t>− Meglerkost inkl. AGA/feriepenger (55 % av megler-oms)</t>
        </is>
      </c>
      <c r="B24" s="19">
        <f>-Forutsetninger!$B$34*(B21-B8)</f>
        <v/>
      </c>
      <c r="C24" s="19">
        <f>-Forutsetninger!$B$34*(C21-C8)</f>
        <v/>
      </c>
      <c r="D24" s="19">
        <f>-Forutsetninger!$B$34*(D21-D8)</f>
        <v/>
      </c>
      <c r="E24" s="19">
        <f>-Forutsetninger!$B$34*(E21-E8)</f>
        <v/>
      </c>
    </row>
    <row r="25">
      <c r="A25" s="6" t="inlineStr">
        <is>
          <t>− Sindre-kompensasjon (min av 45 % og 7,1G, loaded)</t>
        </is>
      </c>
      <c r="B25" s="19">
        <f>-MIN(Forutsetninger!$B$37*B8,Forutsetninger!$B$36)*Forutsetninger!$B$38</f>
        <v/>
      </c>
      <c r="C25" s="19">
        <f>-MIN(Forutsetninger!$B$37*C8,Forutsetninger!$B$36)*Forutsetninger!$B$38</f>
        <v/>
      </c>
      <c r="D25" s="19">
        <f>-MIN(Forutsetninger!$B$37*D8,Forutsetninger!$B$36)*Forutsetninger!$B$38</f>
        <v/>
      </c>
      <c r="E25" s="19">
        <f>-MIN(Forutsetninger!$B$37*E8,Forutsetninger!$B$36)*Forutsetninger!$B$38</f>
        <v/>
      </c>
    </row>
    <row r="26">
      <c r="A26" s="6" t="inlineStr">
        <is>
          <t>− Markedskost (per signert oppdrag × oppdrag inn)</t>
        </is>
      </c>
      <c r="B26" s="19">
        <f>-Forutsetninger!$B$31*B23</f>
        <v/>
      </c>
      <c r="C26" s="19">
        <f>-Forutsetninger!$B$31*C23</f>
        <v/>
      </c>
      <c r="D26" s="19">
        <f>-Forutsetninger!$B$31*D23</f>
        <v/>
      </c>
      <c r="E26" s="19">
        <f>-Forutsetninger!$B$31*E23</f>
        <v/>
      </c>
    </row>
    <row r="27">
      <c r="A27" s="6" t="inlineStr">
        <is>
          <t>− Kostbase (trinnvis, rad 19)</t>
        </is>
      </c>
      <c r="B27" s="19">
        <f>-B19</f>
        <v/>
      </c>
      <c r="C27" s="19">
        <f>-C19</f>
        <v/>
      </c>
      <c r="D27" s="19">
        <f>-D19</f>
        <v/>
      </c>
      <c r="E27" s="19">
        <f>-E19</f>
        <v/>
      </c>
    </row>
    <row r="28">
      <c r="A28" s="12" t="inlineStr">
        <is>
          <t>RESULTAT med planlagt bemanning</t>
        </is>
      </c>
      <c r="B28" s="17">
        <f>B21+SUM(B24:B27)</f>
        <v/>
      </c>
      <c r="C28" s="17">
        <f>C21+SUM(C24:C27)</f>
        <v/>
      </c>
      <c r="D28" s="17">
        <f>D21+SUM(D24:D27)</f>
        <v/>
      </c>
      <c r="E28" s="17">
        <f>E21+SUM(E24:E27)</f>
        <v/>
      </c>
    </row>
    <row r="29">
      <c r="A29" s="12" t="inlineStr">
        <is>
          <t>GAP mot resultatmål (negativt = mangler)</t>
        </is>
      </c>
      <c r="C29" s="26">
        <f>C28-C7</f>
        <v/>
      </c>
      <c r="D29" s="26">
        <f>D28-D7</f>
        <v/>
      </c>
      <c r="E29" s="26">
        <f>E28-E7</f>
        <v/>
      </c>
    </row>
    <row r="30">
      <c r="A30" s="6" t="inlineStr">
        <is>
          <t>Implisert nettomargin (informativ)</t>
        </is>
      </c>
      <c r="B30" s="27">
        <f>B28/B21</f>
        <v/>
      </c>
      <c r="C30" s="27">
        <f>C28/C21</f>
        <v/>
      </c>
      <c r="D30" s="27">
        <f>D28/D21</f>
        <v/>
      </c>
      <c r="E30" s="27">
        <f>E28/E21</f>
        <v/>
      </c>
    </row>
    <row r="32">
      <c r="A32" s="2" t="inlineStr">
        <is>
          <t>KVARTALSMÅL 2027 (regnet av bemanningsplanen for år 1 — rampen synlig)</t>
        </is>
      </c>
      <c r="B32" s="5" t="n"/>
      <c r="C32" s="5" t="n"/>
      <c r="D32" s="5" t="n"/>
      <c r="E32" s="5" t="n"/>
    </row>
    <row r="33">
      <c r="A33" s="28" t="inlineStr"/>
      <c r="B33" s="28" t="inlineStr">
        <is>
          <t>Q1 2027</t>
        </is>
      </c>
      <c r="C33" s="28" t="inlineStr">
        <is>
          <t>Q2 2027</t>
        </is>
      </c>
      <c r="D33" s="28" t="inlineStr">
        <is>
          <t>Q3 2027</t>
        </is>
      </c>
      <c r="E33" s="28" t="inlineStr">
        <is>
          <t>Q4 2027</t>
        </is>
      </c>
    </row>
    <row r="34">
      <c r="A34" s="6" t="inlineStr">
        <is>
          <t>Producing FTE i kvartalet</t>
        </is>
      </c>
      <c r="B34" s="25">
        <f>C10+C11*Forutsetninger!$B$20</f>
        <v/>
      </c>
      <c r="C34" s="25">
        <f>C10+C11*Forutsetninger!$B$21+C12*Forutsetninger!$B$20</f>
        <v/>
      </c>
      <c r="D34" s="25">
        <f>C10+C11*Forutsetninger!$B$22+C12*Forutsetninger!$B$21+C13*Forutsetninger!$B$20</f>
        <v/>
      </c>
      <c r="E34" s="25">
        <f>C10+C11*Forutsetninger!$B$22+C12*Forutsetninger!$B$22+C13*Forutsetninger!$B$21+C14*Forutsetninger!$B$20</f>
        <v/>
      </c>
    </row>
    <row r="35">
      <c r="A35" s="6" t="inlineStr">
        <is>
          <t>Omsetningsmål ex mva (FTE × stol/4 + Sindre/4)</t>
        </is>
      </c>
      <c r="B35" s="19">
        <f>(B34*Forutsetninger!$B$13+Forutsetninger!$B$14)/4</f>
        <v/>
      </c>
      <c r="C35" s="19">
        <f>(C34*Forutsetninger!$B$13+Forutsetninger!$B$14)/4</f>
        <v/>
      </c>
      <c r="D35" s="19">
        <f>(D34*Forutsetninger!$B$13+Forutsetninger!$B$14)/4</f>
        <v/>
      </c>
      <c r="E35" s="19">
        <f>(E34*Forutsetninger!$B$13+Forutsetninger!$B$14)/4</f>
        <v/>
      </c>
    </row>
    <row r="36">
      <c r="A36" s="6" t="inlineStr">
        <is>
          <t>Båter solgt</t>
        </is>
      </c>
      <c r="B36" s="29">
        <f>B35/Forutsetninger!$B$5</f>
        <v/>
      </c>
      <c r="C36" s="29">
        <f>C35/Forutsetninger!$B$5</f>
        <v/>
      </c>
      <c r="D36" s="29">
        <f>D35/Forutsetninger!$B$5</f>
        <v/>
      </c>
      <c r="E36" s="29">
        <f>E35/Forutsetninger!$B$5</f>
        <v/>
      </c>
    </row>
    <row r="37">
      <c r="A37" s="6" t="inlineStr">
        <is>
          <t>Signerte oppdrag inn</t>
        </is>
      </c>
      <c r="B37" s="29">
        <f>B36*Forutsetninger!$B$41</f>
        <v/>
      </c>
      <c r="C37" s="29">
        <f>C36*Forutsetninger!$B$41</f>
        <v/>
      </c>
      <c r="D37" s="29">
        <f>D36*Forutsetninger!$B$41</f>
        <v/>
      </c>
      <c r="E37" s="29">
        <f>E36*Forutsetninger!$B$41</f>
        <v/>
      </c>
    </row>
    <row r="38">
      <c r="A38" s="4" t="inlineStr">
        <is>
          <t>Kontroll: snittet av de fire kvartals-FTE-ene = årets FTE i rad 15. Summen av kvartalsomsetningen = rad 21 for år 1.</t>
        </is>
      </c>
    </row>
    <row r="40">
      <c r="A40" s="2" t="inlineStr">
        <is>
          <t>BEHOV FOR MÅLET — selvkonsistent kostbase (flere stoler → høyere kostbase → mer omsetning …)</t>
        </is>
      </c>
      <c r="B40" s="5" t="n"/>
      <c r="C40" s="5" t="n"/>
      <c r="D40" s="5" t="n"/>
      <c r="E40" s="5" t="n"/>
    </row>
    <row r="41">
      <c r="A41" s="4" t="inlineStr">
        <is>
          <t>Kostbasen avhenger av antall stoler, som avhenger av omsetningen. Fire scenarioer — modellen velger det som er konsistent med sitt eget stol-antall. (Steady-state: engangs rekrutteringskost holdes utenfor.)</t>
        </is>
      </c>
    </row>
    <row r="42">
      <c r="A42" s="6" t="inlineStr">
        <is>
          <t>Scenario A (≤4 stoler): nødvendig megler-oms</t>
        </is>
      </c>
      <c r="C42" s="19">
        <f>(C7+Forutsetninger!$B$25-2*Forutsetninger!$B$26-(C8-MIN(Forutsetninger!$B$37*C8,Forutsetninger!$B$36)*Forutsetninger!$B$38-(Forutsetninger!$B$31*Forutsetninger!$B$41/Forutsetninger!$B$5)*C8))/(1-Forutsetninger!$B$34-(Forutsetninger!$B$31*Forutsetninger!$B$41/Forutsetninger!$B$5)-Forutsetninger!$B$26/Forutsetninger!$B$13)</f>
        <v/>
      </c>
      <c r="D42" s="19">
        <f>(D7+Forutsetninger!$B$25-2*Forutsetninger!$B$26-(D8-MIN(Forutsetninger!$B$37*D8,Forutsetninger!$B$36)*Forutsetninger!$B$38-(Forutsetninger!$B$31*Forutsetninger!$B$41/Forutsetninger!$B$5)*D8))/(1-Forutsetninger!$B$34-(Forutsetninger!$B$31*Forutsetninger!$B$41/Forutsetninger!$B$5)-Forutsetninger!$B$26/Forutsetninger!$B$13)</f>
        <v/>
      </c>
      <c r="E42" s="19">
        <f>(E7+Forutsetninger!$B$25-2*Forutsetninger!$B$26-(E8-MIN(Forutsetninger!$B$37*E8,Forutsetninger!$B$36)*Forutsetninger!$B$38-(Forutsetninger!$B$31*Forutsetninger!$B$41/Forutsetninger!$B$5)*E8))/(1-Forutsetninger!$B$34-(Forutsetninger!$B$31*Forutsetninger!$B$41/Forutsetninger!$B$5)-Forutsetninger!$B$26/Forutsetninger!$B$13)</f>
        <v/>
      </c>
    </row>
    <row r="43">
      <c r="A43" s="6" t="inlineStr">
        <is>
          <t xml:space="preserve">   → producing FTE-behov A</t>
        </is>
      </c>
      <c r="C43" s="29">
        <f>C42/Forutsetninger!$B$13</f>
        <v/>
      </c>
      <c r="D43" s="29">
        <f>D42/Forutsetninger!$B$13</f>
        <v/>
      </c>
      <c r="E43" s="29">
        <f>E42/Forutsetninger!$B$13</f>
        <v/>
      </c>
    </row>
    <row r="44">
      <c r="A44" s="6" t="inlineStr">
        <is>
          <t>Scenario B (5 stoler, + salgsleder): megler-oms</t>
        </is>
      </c>
      <c r="C44" s="19">
        <f>(C7+Forutsetninger!$B$25-2*Forutsetninger!$B$26-(C8-MIN(Forutsetninger!$B$37*C8,Forutsetninger!$B$36)*Forutsetninger!$B$38-(Forutsetninger!$B$31*Forutsetninger!$B$41/Forutsetninger!$B$5)*C8)+Forutsetninger!$B$29)/(1-Forutsetninger!$B$34-(Forutsetninger!$B$31*Forutsetninger!$B$41/Forutsetninger!$B$5)-Forutsetninger!$B$26/Forutsetninger!$B$13)</f>
        <v/>
      </c>
      <c r="D44" s="19">
        <f>(D7+Forutsetninger!$B$25-2*Forutsetninger!$B$26-(D8-MIN(Forutsetninger!$B$37*D8,Forutsetninger!$B$36)*Forutsetninger!$B$38-(Forutsetninger!$B$31*Forutsetninger!$B$41/Forutsetninger!$B$5)*D8)+Forutsetninger!$B$29)/(1-Forutsetninger!$B$34-(Forutsetninger!$B$31*Forutsetninger!$B$41/Forutsetninger!$B$5)-Forutsetninger!$B$26/Forutsetninger!$B$13)</f>
        <v/>
      </c>
      <c r="E44" s="19">
        <f>(E7+Forutsetninger!$B$25-2*Forutsetninger!$B$26-(E8-MIN(Forutsetninger!$B$37*E8,Forutsetninger!$B$36)*Forutsetninger!$B$38-(Forutsetninger!$B$31*Forutsetninger!$B$41/Forutsetninger!$B$5)*E8)+Forutsetninger!$B$29)/(1-Forutsetninger!$B$34-(Forutsetninger!$B$31*Forutsetninger!$B$41/Forutsetninger!$B$5)-Forutsetninger!$B$26/Forutsetninger!$B$13)</f>
        <v/>
      </c>
    </row>
    <row r="45">
      <c r="A45" s="6" t="inlineStr">
        <is>
          <t xml:space="preserve">   → producing FTE-behov B</t>
        </is>
      </c>
      <c r="C45" s="29">
        <f>C44/Forutsetninger!$B$13</f>
        <v/>
      </c>
      <c r="D45" s="29">
        <f>D44/Forutsetninger!$B$13</f>
        <v/>
      </c>
      <c r="E45" s="29">
        <f>E44/Forutsetninger!$B$13</f>
        <v/>
      </c>
    </row>
    <row r="46">
      <c r="A46" s="6" t="inlineStr">
        <is>
          <t>Scenario C (6–7 stoler, + leder + kontor): megler-oms</t>
        </is>
      </c>
      <c r="C46" s="19">
        <f>(C7+Forutsetninger!$B$25-2*Forutsetninger!$B$26-(C8-MIN(Forutsetninger!$B$37*C8,Forutsetninger!$B$36)*Forutsetninger!$B$38-(Forutsetninger!$B$31*Forutsetninger!$B$41/Forutsetninger!$B$5)*C8)+Forutsetninger!$B$29+Forutsetninger!$B$28)/(1-Forutsetninger!$B$34-(Forutsetninger!$B$31*Forutsetninger!$B$41/Forutsetninger!$B$5)-Forutsetninger!$B$26/Forutsetninger!$B$13)</f>
        <v/>
      </c>
      <c r="D46" s="19">
        <f>(D7+Forutsetninger!$B$25-2*Forutsetninger!$B$26-(D8-MIN(Forutsetninger!$B$37*D8,Forutsetninger!$B$36)*Forutsetninger!$B$38-(Forutsetninger!$B$31*Forutsetninger!$B$41/Forutsetninger!$B$5)*D8)+Forutsetninger!$B$29+Forutsetninger!$B$28)/(1-Forutsetninger!$B$34-(Forutsetninger!$B$31*Forutsetninger!$B$41/Forutsetninger!$B$5)-Forutsetninger!$B$26/Forutsetninger!$B$13)</f>
        <v/>
      </c>
      <c r="E46" s="19">
        <f>(E7+Forutsetninger!$B$25-2*Forutsetninger!$B$26-(E8-MIN(Forutsetninger!$B$37*E8,Forutsetninger!$B$36)*Forutsetninger!$B$38-(Forutsetninger!$B$31*Forutsetninger!$B$41/Forutsetninger!$B$5)*E8)+Forutsetninger!$B$29+Forutsetninger!$B$28)/(1-Forutsetninger!$B$34-(Forutsetninger!$B$31*Forutsetninger!$B$41/Forutsetninger!$B$5)-Forutsetninger!$B$26/Forutsetninger!$B$13)</f>
        <v/>
      </c>
    </row>
    <row r="47">
      <c r="A47" s="6" t="inlineStr">
        <is>
          <t xml:space="preserve">   → producing FTE-behov C</t>
        </is>
      </c>
      <c r="C47" s="29">
        <f>C46/Forutsetninger!$B$13</f>
        <v/>
      </c>
      <c r="D47" s="29">
        <f>D46/Forutsetninger!$B$13</f>
        <v/>
      </c>
      <c r="E47" s="29">
        <f>E46/Forutsetninger!$B$13</f>
        <v/>
      </c>
    </row>
    <row r="48">
      <c r="A48" s="6" t="inlineStr">
        <is>
          <t>Scenario D (≥8 stoler, + leder + kontor + backoffice): megler-oms</t>
        </is>
      </c>
      <c r="C48" s="19">
        <f>(C7+Forutsetninger!$B$25-2*Forutsetninger!$B$26-(C8-MIN(Forutsetninger!$B$37*C8,Forutsetninger!$B$36)*Forutsetninger!$B$38-(Forutsetninger!$B$31*Forutsetninger!$B$41/Forutsetninger!$B$5)*C8)+Forutsetninger!$B$29+Forutsetninger!$B$28+Forutsetninger!$B$30)/(1-Forutsetninger!$B$34-(Forutsetninger!$B$31*Forutsetninger!$B$41/Forutsetninger!$B$5)-Forutsetninger!$B$26/Forutsetninger!$B$13)</f>
        <v/>
      </c>
      <c r="D48" s="19">
        <f>(D7+Forutsetninger!$B$25-2*Forutsetninger!$B$26-(D8-MIN(Forutsetninger!$B$37*D8,Forutsetninger!$B$36)*Forutsetninger!$B$38-(Forutsetninger!$B$31*Forutsetninger!$B$41/Forutsetninger!$B$5)*D8)+Forutsetninger!$B$29+Forutsetninger!$B$28+Forutsetninger!$B$30)/(1-Forutsetninger!$B$34-(Forutsetninger!$B$31*Forutsetninger!$B$41/Forutsetninger!$B$5)-Forutsetninger!$B$26/Forutsetninger!$B$13)</f>
        <v/>
      </c>
      <c r="E48" s="19">
        <f>(E7+Forutsetninger!$B$25-2*Forutsetninger!$B$26-(E8-MIN(Forutsetninger!$B$37*E8,Forutsetninger!$B$36)*Forutsetninger!$B$38-(Forutsetninger!$B$31*Forutsetninger!$B$41/Forutsetninger!$B$5)*E8)+Forutsetninger!$B$29+Forutsetninger!$B$28+Forutsetninger!$B$30)/(1-Forutsetninger!$B$34-(Forutsetninger!$B$31*Forutsetninger!$B$41/Forutsetninger!$B$5)-Forutsetninger!$B$26/Forutsetninger!$B$13)</f>
        <v/>
      </c>
    </row>
    <row r="49">
      <c r="A49" s="6" t="inlineStr">
        <is>
          <t xml:space="preserve">   → producing FTE-behov D</t>
        </is>
      </c>
      <c r="C49" s="29">
        <f>C48/Forutsetninger!$B$13</f>
        <v/>
      </c>
      <c r="D49" s="29">
        <f>D48/Forutsetninger!$B$13</f>
        <v/>
      </c>
      <c r="E49" s="29">
        <f>E48/Forutsetninger!$B$13</f>
        <v/>
      </c>
    </row>
    <row r="50">
      <c r="A50" s="12" t="inlineStr">
        <is>
          <t>ENDELIG nødvendig megler-omsetning (konsistent scenario)</t>
        </is>
      </c>
      <c r="C50" s="17">
        <f>IF(ROUNDUP(C43,0)&lt;=4,C42,IF(ROUNDUP(C45,0)&lt;=5,C44,IF(ROUNDUP(C47,0)&lt;=7,C46,C48)))</f>
        <v/>
      </c>
      <c r="D50" s="17">
        <f>IF(ROUNDUP(D43,0)&lt;=4,D42,IF(ROUNDUP(D45,0)&lt;=5,D44,IF(ROUNDUP(D47,0)&lt;=7,D46,D48)))</f>
        <v/>
      </c>
      <c r="E50" s="17">
        <f>IF(ROUNDUP(E43,0)&lt;=4,E42,IF(ROUNDUP(E45,0)&lt;=5,E44,IF(ROUNDUP(E47,0)&lt;=7,E46,E48)))</f>
        <v/>
      </c>
    </row>
    <row r="51">
      <c r="A51" s="12" t="inlineStr">
        <is>
          <t>ENDELIG nødvendig total omsetning</t>
        </is>
      </c>
      <c r="C51" s="17">
        <f>C50+C8</f>
        <v/>
      </c>
      <c r="D51" s="17">
        <f>D50+D8</f>
        <v/>
      </c>
      <c r="E51" s="17">
        <f>E50+E8</f>
        <v/>
      </c>
    </row>
    <row r="52">
      <c r="A52" s="12" t="inlineStr">
        <is>
          <t>ENDELIG producing FTE-behov (kapasitet, IKKE personer)</t>
        </is>
      </c>
      <c r="C52" s="30">
        <f>C50/Forutsetninger!$B$13</f>
        <v/>
      </c>
      <c r="D52" s="30">
        <f>D50/Forutsetninger!$B$13</f>
        <v/>
      </c>
      <c r="E52" s="30">
        <f>E50/Forutsetninger!$B$13</f>
        <v/>
      </c>
    </row>
    <row r="53">
      <c r="A53" s="12" t="inlineStr">
        <is>
          <t>Bemannede meglere for målet, steady-state (rundet opp + buffer)</t>
        </is>
      </c>
      <c r="C53" s="24">
        <f>ROUNDUP(C52,0)+Forutsetninger!$B$16</f>
        <v/>
      </c>
      <c r="D53" s="24">
        <f>ROUNDUP(D52,0)+Forutsetninger!$B$16</f>
        <v/>
      </c>
      <c r="E53" s="24">
        <f>ROUNDUP(E52,0)+Forutsetninger!$B$16</f>
        <v/>
      </c>
    </row>
    <row r="54">
      <c r="A54" s="6" t="inlineStr">
        <is>
          <t>Omsetningsgap (kapasitet − behov)</t>
        </is>
      </c>
      <c r="C54" s="26">
        <f>C21-C51</f>
        <v/>
      </c>
      <c r="D54" s="26">
        <f>D21-D51</f>
        <v/>
      </c>
      <c r="E54" s="26">
        <f>E21-E51</f>
        <v/>
      </c>
    </row>
    <row r="55">
      <c r="A55" s="4" t="inlineStr">
        <is>
          <t>FTE ≠ personer: i et INNFASINGSÅR yter nyansatte 40–100 % (rampen), så samme FTE krever flere bemannede — sammenlign rad 15 (FTE) mot rad 16 (bemannede) i planen. Scenario-tersklene (5/6/8) gjelder BEMANNEDE.</t>
        </is>
      </c>
    </row>
    <row r="57">
      <c r="A57" s="4" t="inlineStr">
        <is>
          <t>Buffer-stolen har ingen kostnad i modellen (planlagt tom). Vinnraten 68 % brukes kun i aktivitetsnedbrytningen og er PROXY.</t>
        </is>
      </c>
    </row>
    <row r="58">
      <c r="A58" s="4" t="inlineStr">
        <is>
          <t>Charter er holdt helt utenfor. Målt-kolonnen = fasit-omsetning m/dagens kostnivå og 7,1G — regnskapet 2025 viste +737k, se broen i Historikk.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HOUSE OF YACHTS — 1/3/5-ÅRSPLAN</t>
        </is>
      </c>
    </row>
    <row r="2">
      <c r="A2" s="4" t="inlineStr">
        <is>
          <t>North Star: resultat før skatt (etter Sindre-lønn kappet på 7,1G). Mål og bemanning settes i Økonomimotor.</t>
        </is>
      </c>
    </row>
    <row r="3">
      <c r="A3" s="4" t="inlineStr">
        <is>
          <t>Planen handler om stoler, ikke navn. Stol = rampet megler; Sindre egen stol; buffer = planlagt tom.</t>
        </is>
      </c>
    </row>
    <row r="5">
      <c r="A5" s="9" t="inlineStr"/>
      <c r="B5" s="9" t="inlineStr">
        <is>
          <t>Målt siste 12 mnd</t>
        </is>
      </c>
      <c r="C5" s="9" t="inlineStr">
        <is>
          <t>År 1 (2027)</t>
        </is>
      </c>
      <c r="D5" s="9" t="inlineStr">
        <is>
          <t>År 3 (2029)</t>
        </is>
      </c>
      <c r="E5" s="9" t="inlineStr">
        <is>
          <t>År 5 (2031)</t>
        </is>
      </c>
    </row>
    <row r="6">
      <c r="A6" s="2" t="inlineStr">
        <is>
          <t>1. NORTH STAR (fra Økonomimotor)</t>
        </is>
      </c>
      <c r="B6" s="5" t="n"/>
      <c r="C6" s="5" t="n"/>
      <c r="D6" s="5" t="n"/>
      <c r="E6" s="5" t="n"/>
    </row>
    <row r="7">
      <c r="A7" s="12" t="inlineStr">
        <is>
          <t>Resultatmål før skatt</t>
        </is>
      </c>
      <c r="B7" s="20">
        <f>Økonomimotor!B7</f>
        <v/>
      </c>
      <c r="C7" s="20">
        <f>Økonomimotor!C7</f>
        <v/>
      </c>
      <c r="D7" s="20">
        <f>Økonomimotor!D7</f>
        <v/>
      </c>
      <c r="E7" s="20">
        <f>Økonomimotor!E7</f>
        <v/>
      </c>
    </row>
    <row r="8">
      <c r="A8" s="12" t="inlineStr">
        <is>
          <t>Omsetning målet krever (behov)</t>
        </is>
      </c>
      <c r="B8" s="20">
        <f>Økonomimotor!B21</f>
        <v/>
      </c>
      <c r="C8" s="20">
        <f>Økonomimotor!C51</f>
        <v/>
      </c>
      <c r="D8" s="20">
        <f>Økonomimotor!D51</f>
        <v/>
      </c>
      <c r="E8" s="20">
        <f>Økonomimotor!E51</f>
        <v/>
      </c>
    </row>
    <row r="9">
      <c r="A9" s="6" t="inlineStr">
        <is>
          <t>Kapasitet med planlagt bemanning</t>
        </is>
      </c>
      <c r="B9" s="20" t="n"/>
      <c r="C9" s="20">
        <f>Økonomimotor!C21</f>
        <v/>
      </c>
      <c r="D9" s="20">
        <f>Økonomimotor!D21</f>
        <v/>
      </c>
      <c r="E9" s="20">
        <f>Økonomimotor!E21</f>
        <v/>
      </c>
    </row>
    <row r="10">
      <c r="A10" s="6" t="inlineStr">
        <is>
          <t>Resultat med planlagt bemanning / GAP mot mål</t>
        </is>
      </c>
      <c r="B10" s="19">
        <f>Økonomimotor!B28</f>
        <v/>
      </c>
      <c r="C10" s="26">
        <f>Økonomimotor!C29</f>
        <v/>
      </c>
      <c r="D10" s="26">
        <f>Økonomimotor!D29</f>
        <v/>
      </c>
      <c r="E10" s="26">
        <f>Økonomimotor!E29</f>
        <v/>
      </c>
    </row>
    <row r="12">
      <c r="A12" s="2" t="inlineStr">
        <is>
          <t>2. FRA OMSETNING TIL BÅTER (behov)</t>
        </is>
      </c>
      <c r="B12" s="5" t="n"/>
      <c r="C12" s="5" t="n"/>
      <c r="D12" s="5" t="n"/>
      <c r="E12" s="5" t="n"/>
    </row>
    <row r="13">
      <c r="A13" s="6" t="inlineStr">
        <is>
          <t>Inntekt per solgt båt, ex mva (fasit)</t>
        </is>
      </c>
      <c r="B13" s="20">
        <f>Forutsetninger!$B$5</f>
        <v/>
      </c>
      <c r="C13" s="20">
        <f>Forutsetninger!$B$5</f>
        <v/>
      </c>
      <c r="D13" s="20">
        <f>Forutsetninger!$B$5</f>
        <v/>
      </c>
      <c r="E13" s="20">
        <f>Forutsetninger!$B$5</f>
        <v/>
      </c>
    </row>
    <row r="14">
      <c r="A14" s="12" t="inlineStr">
        <is>
          <t>Båter som må selges per år</t>
        </is>
      </c>
      <c r="B14" s="24" t="n">
        <v>75</v>
      </c>
      <c r="C14" s="24">
        <f>C8/Forutsetninger!$B$5</f>
        <v/>
      </c>
      <c r="D14" s="24">
        <f>D8/Forutsetninger!$B$5</f>
        <v/>
      </c>
      <c r="E14" s="24">
        <f>E8/Forutsetninger!$B$5</f>
        <v/>
      </c>
    </row>
    <row r="15">
      <c r="A15" s="6" t="inlineStr">
        <is>
          <t>Båter per måned</t>
        </is>
      </c>
      <c r="B15" s="29">
        <f>B14/12</f>
        <v/>
      </c>
      <c r="C15" s="29">
        <f>C14/12</f>
        <v/>
      </c>
      <c r="D15" s="29">
        <f>D14/12</f>
        <v/>
      </c>
      <c r="E15" s="29">
        <f>E14/12</f>
        <v/>
      </c>
    </row>
    <row r="17">
      <c r="A17" s="2" t="inlineStr">
        <is>
          <t>3. FRA BÅTER TIL STOLER</t>
        </is>
      </c>
      <c r="B17" s="5" t="n"/>
      <c r="C17" s="5" t="n"/>
      <c r="D17" s="5" t="n"/>
      <c r="E17" s="5" t="n"/>
    </row>
    <row r="18">
      <c r="A18" s="12" t="inlineStr">
        <is>
          <t>Producing megler-FTE målet krever</t>
        </is>
      </c>
      <c r="B18" s="30" t="n"/>
      <c r="C18" s="30">
        <f>Økonomimotor!C52</f>
        <v/>
      </c>
      <c r="D18" s="30">
        <f>Økonomimotor!D52</f>
        <v/>
      </c>
      <c r="E18" s="30">
        <f>Økonomimotor!E52</f>
        <v/>
      </c>
    </row>
    <row r="19">
      <c r="A19" s="6" t="inlineStr">
        <is>
          <t>Planlagt producing FTE (bemanningsplan m/ramp)</t>
        </is>
      </c>
      <c r="B19" s="31" t="n">
        <v>1</v>
      </c>
      <c r="C19" s="31">
        <f>Økonomimotor!C15</f>
        <v/>
      </c>
      <c r="D19" s="31">
        <f>Økonomimotor!D15</f>
        <v/>
      </c>
      <c r="E19" s="31">
        <f>Økonomimotor!E15</f>
        <v/>
      </c>
    </row>
    <row r="20">
      <c r="A20" s="12" t="inlineStr">
        <is>
          <t>Megler-stoler å bemanne for målet (rundet opp + buffer)</t>
        </is>
      </c>
      <c r="B20" s="24" t="n"/>
      <c r="C20" s="24">
        <f>Økonomimotor!C53</f>
        <v/>
      </c>
      <c r="D20" s="24">
        <f>Økonomimotor!D53</f>
        <v/>
      </c>
      <c r="E20" s="24">
        <f>Økonomimotor!E53</f>
        <v/>
      </c>
    </row>
    <row r="21">
      <c r="A21" s="6" t="inlineStr">
        <is>
          <t>Planlagt bemannet ved årets slutt</t>
        </is>
      </c>
      <c r="B21" s="32">
        <f>Forutsetninger!$B$17</f>
        <v/>
      </c>
      <c r="C21" s="32">
        <f>Økonomimotor!C16</f>
        <v/>
      </c>
      <c r="D21" s="32">
        <f>Økonomimotor!D16</f>
        <v/>
      </c>
      <c r="E21" s="32">
        <f>Økonomimotor!E16</f>
        <v/>
      </c>
    </row>
    <row r="22">
      <c r="A22" s="12" t="inlineStr">
        <is>
          <t>REKRUTTERINGSGAP mot målet (stoler)</t>
        </is>
      </c>
      <c r="B22" s="24" t="n"/>
      <c r="C22" s="33">
        <f>C20-C21</f>
        <v/>
      </c>
      <c r="D22" s="33">
        <f>D20-D21</f>
        <v/>
      </c>
      <c r="E22" s="33">
        <f>E20-E21</f>
        <v/>
      </c>
    </row>
    <row r="24">
      <c r="A24" s="2" t="inlineStr">
        <is>
          <t>4. FRA STOLER TIL UKENTLIGE AKTIVITETER (behov; 68 % er PROXY)</t>
        </is>
      </c>
      <c r="B24" s="5" t="n"/>
      <c r="C24" s="5" t="n"/>
      <c r="D24" s="5" t="n"/>
      <c r="E24" s="5" t="n"/>
    </row>
    <row r="25">
      <c r="A25" s="6" t="inlineStr">
        <is>
          <t>Signerte oppdrag inn per år (båter × 1,30 planantakelse)</t>
        </is>
      </c>
      <c r="B25" s="21" t="n">
        <v>67</v>
      </c>
      <c r="C25" s="21">
        <f>C14*Forutsetninger!$B$41</f>
        <v/>
      </c>
      <c r="D25" s="21">
        <f>D14*Forutsetninger!$B$41</f>
        <v/>
      </c>
      <c r="E25" s="21">
        <f>E14*Forutsetninger!$B$41</f>
        <v/>
      </c>
    </row>
    <row r="26">
      <c r="A26" s="6" t="inlineStr">
        <is>
          <t>Signerte oppdrag per uke</t>
        </is>
      </c>
      <c r="B26" s="29">
        <f>B25/Forutsetninger!$B$44</f>
        <v/>
      </c>
      <c r="C26" s="29">
        <f>C25/Forutsetninger!$B$44</f>
        <v/>
      </c>
      <c r="D26" s="29">
        <f>D25/Forutsetninger!$B$44</f>
        <v/>
      </c>
      <c r="E26" s="29">
        <f>E25/Forutsetninger!$B$44</f>
        <v/>
      </c>
    </row>
    <row r="27">
      <c r="A27" s="6" t="inlineStr">
        <is>
          <t>Befaringer per år (÷ 68 % PROXY-vinnrate)</t>
        </is>
      </c>
      <c r="B27" s="21">
        <f>B25/Forutsetninger!$B$42</f>
        <v/>
      </c>
      <c r="C27" s="21">
        <f>C25/Forutsetninger!$B$42</f>
        <v/>
      </c>
      <c r="D27" s="21">
        <f>D25/Forutsetninger!$B$42</f>
        <v/>
      </c>
      <c r="E27" s="21">
        <f>E25/Forutsetninger!$B$42</f>
        <v/>
      </c>
    </row>
    <row r="28">
      <c r="A28" s="12" t="inlineStr">
        <is>
          <t>Befaringer per uke (teamet)</t>
        </is>
      </c>
      <c r="B28" s="30">
        <f>B27/Forutsetninger!$B$44</f>
        <v/>
      </c>
      <c r="C28" s="30">
        <f>C27/Forutsetninger!$B$44</f>
        <v/>
      </c>
      <c r="D28" s="30">
        <f>D27/Forutsetninger!$B$44</f>
        <v/>
      </c>
      <c r="E28" s="30">
        <f>E27/Forutsetninger!$B$44</f>
        <v/>
      </c>
    </row>
    <row r="29">
      <c r="A29" s="6" t="inlineStr">
        <is>
          <t>Kvalifiserte prospects per år (÷ 50 %)</t>
        </is>
      </c>
      <c r="B29" s="21" t="n">
        <v>133</v>
      </c>
      <c r="C29" s="21">
        <f>C27/Forutsetninger!$B$43</f>
        <v/>
      </c>
      <c r="D29" s="21">
        <f>D27/Forutsetninger!$B$43</f>
        <v/>
      </c>
      <c r="E29" s="21">
        <f>E27/Forutsetninger!$B$43</f>
        <v/>
      </c>
    </row>
    <row r="30">
      <c r="A30" s="12" t="inlineStr">
        <is>
          <t>Nye prospects per uke (teamet)</t>
        </is>
      </c>
      <c r="B30" s="30">
        <f>B29/Forutsetninger!$B$44</f>
        <v/>
      </c>
      <c r="C30" s="30">
        <f>C29/Forutsetninger!$B$44</f>
        <v/>
      </c>
      <c r="D30" s="30">
        <f>D29/Forutsetninger!$B$44</f>
        <v/>
      </c>
      <c r="E30" s="30">
        <f>E29/Forutsetninger!$B$44</f>
        <v/>
      </c>
    </row>
    <row r="31">
      <c r="A31" s="6" t="inlineStr">
        <is>
          <t>Befaringer per uke PER planlagt FTE (inkl. Sindre)</t>
        </is>
      </c>
      <c r="B31" s="29">
        <f>B28/(B19+1)</f>
        <v/>
      </c>
      <c r="C31" s="29">
        <f>C28/(C19+1)</f>
        <v/>
      </c>
      <c r="D31" s="29">
        <f>D28/(D19+1)</f>
        <v/>
      </c>
      <c r="E31" s="29">
        <f>E28/(E19+1)</f>
        <v/>
      </c>
    </row>
    <row r="33">
      <c r="A33" s="4" t="inlineStr">
        <is>
          <t>Når en megler slutter: rør ikke målene. Oppdater bemanningsplanen i Økonomimotor + «bemannet i dag» i Forutsetninger.</t>
        </is>
      </c>
    </row>
    <row r="34">
      <c r="A34" s="4" t="inlineStr">
        <is>
          <t>Rekrutteringsgapet og resultat-gapet oppdaterer seg selv — det er de to tallene ukemøtet skal styre på.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SPAKER — samme bemanningsplan, bedre driftsøkonomi</t>
        </is>
      </c>
    </row>
    <row r="2">
      <c r="A2" s="4" t="inlineStr">
        <is>
          <t>Scenario: provisjonsdisiplin ≥6 %/45k + premium-miks (snittbåt mot 1,6M), markedskost-tak, sterkere stoler (1,8M).</t>
        </is>
      </c>
    </row>
    <row r="4">
      <c r="A4" s="12" t="inlineStr">
        <is>
          <t>Scenario-parametre (blå = juster):</t>
        </is>
      </c>
    </row>
    <row r="5">
      <c r="A5" s="6" t="inlineStr">
        <is>
          <t>Inntekt per båt ex mva (1,6M snittbåt × 6 % ÷ 1,25)</t>
        </is>
      </c>
      <c r="B5" s="34" t="n">
        <v>76800</v>
      </c>
    </row>
    <row r="6">
      <c r="A6" s="6" t="inlineStr">
        <is>
          <t>Markedskost per signert oppdrag (CFO-mål)</t>
        </is>
      </c>
      <c r="B6" s="34" t="n">
        <v>4552</v>
      </c>
    </row>
    <row r="7">
      <c r="A7" s="6" t="inlineStr">
        <is>
          <t>Omsetning per producing megler-stol (produksjonsmål)</t>
        </is>
      </c>
      <c r="B7" s="34" t="n">
        <v>1800000</v>
      </c>
    </row>
    <row r="9">
      <c r="A9" s="9" t="inlineStr"/>
      <c r="B9" s="9" t="inlineStr"/>
      <c r="C9" s="9" t="inlineStr">
        <is>
          <t>År 1 (2027)</t>
        </is>
      </c>
      <c r="D9" s="9" t="inlineStr">
        <is>
          <t>År 3 (2029)</t>
        </is>
      </c>
      <c r="E9" s="9" t="inlineStr">
        <is>
          <t>År 5 (2031)</t>
        </is>
      </c>
    </row>
    <row r="10">
      <c r="A10" s="12" t="inlineStr">
        <is>
          <t>Resultatmål (fra Økonomimotor)</t>
        </is>
      </c>
      <c r="B10" s="4" t="inlineStr"/>
      <c r="C10" s="20">
        <f>Økonomimotor!C7</f>
        <v/>
      </c>
      <c r="D10" s="20">
        <f>Økonomimotor!D7</f>
        <v/>
      </c>
      <c r="E10" s="20">
        <f>Økonomimotor!E7</f>
        <v/>
      </c>
    </row>
    <row r="11">
      <c r="A11" s="12" t="inlineStr">
        <is>
          <t>Kapasitets-omsetning m/spakene (samme FTE, 1,8M-stoler)</t>
        </is>
      </c>
      <c r="B11" s="4" t="inlineStr"/>
      <c r="C11" s="17">
        <f>Økonomimotor!C15*$B$7+Økonomimotor!C8</f>
        <v/>
      </c>
      <c r="D11" s="17">
        <f>Økonomimotor!D15*$B$7+Økonomimotor!D8</f>
        <v/>
      </c>
      <c r="E11" s="17">
        <f>Økonomimotor!E15*$B$7+Økonomimotor!E8</f>
        <v/>
      </c>
    </row>
    <row r="12">
      <c r="A12" s="6" t="inlineStr">
        <is>
          <t>− Meglerkost 55 % av megler-oms</t>
        </is>
      </c>
      <c r="B12" s="4" t="inlineStr"/>
      <c r="C12" s="19">
        <f>-Forutsetninger!$B$34*(C11-Økonomimotor!C8)</f>
        <v/>
      </c>
      <c r="D12" s="19">
        <f>-Forutsetninger!$B$34*(D11-Økonomimotor!D8)</f>
        <v/>
      </c>
      <c r="E12" s="19">
        <f>-Forutsetninger!$B$34*(E11-Økonomimotor!E8)</f>
        <v/>
      </c>
    </row>
    <row r="13">
      <c r="A13" s="6" t="inlineStr">
        <is>
          <t>− Sindre-kompensasjon (7,1G, loaded)</t>
        </is>
      </c>
      <c r="B13" s="4" t="inlineStr"/>
      <c r="C13" s="19">
        <f>-MIN(Forutsetninger!$B$37*Økonomimotor!C8,Forutsetninger!$B$36)*Forutsetninger!$B$38</f>
        <v/>
      </c>
      <c r="D13" s="19">
        <f>-MIN(Forutsetninger!$B$37*Økonomimotor!D8,Forutsetninger!$B$36)*Forutsetninger!$B$38</f>
        <v/>
      </c>
      <c r="E13" s="19">
        <f>-MIN(Forutsetninger!$B$37*Økonomimotor!E8,Forutsetninger!$B$36)*Forutsetninger!$B$38</f>
        <v/>
      </c>
    </row>
    <row r="14">
      <c r="A14" s="6" t="inlineStr">
        <is>
          <t>− Markedskost (oms ÷ 76 800 × 1,30 × 4 552)</t>
        </is>
      </c>
      <c r="B14" s="4" t="inlineStr">
        <is>
          <t>(færre båter per krone enn baseline!)</t>
        </is>
      </c>
      <c r="C14" s="19">
        <f>-$B$6*(C11/$B$5*Forutsetninger!$B$41)</f>
        <v/>
      </c>
      <c r="D14" s="19">
        <f>-$B$6*(D11/$B$5*Forutsetninger!$B$41)</f>
        <v/>
      </c>
      <c r="E14" s="19">
        <f>-$B$6*(E11/$B$5*Forutsetninger!$B$41)</f>
        <v/>
      </c>
    </row>
    <row r="15">
      <c r="A15" s="6" t="inlineStr">
        <is>
          <t>− Kostbase (samme trinnkost som motoren, rad 19)</t>
        </is>
      </c>
      <c r="B15" s="4" t="inlineStr"/>
      <c r="C15" s="19">
        <f>-Økonomimotor!C19</f>
        <v/>
      </c>
      <c r="D15" s="19">
        <f>-Økonomimotor!D19</f>
        <v/>
      </c>
      <c r="E15" s="19">
        <f>-Økonomimotor!E19</f>
        <v/>
      </c>
    </row>
    <row r="16">
      <c r="A16" s="12" t="inlineStr">
        <is>
          <t>RESULTAT m/spakene på planlagt bemanning</t>
        </is>
      </c>
      <c r="B16" s="4" t="inlineStr"/>
      <c r="C16" s="17">
        <f>C11+SUM(C12:C15)</f>
        <v/>
      </c>
      <c r="D16" s="17">
        <f>D11+SUM(D12:D15)</f>
        <v/>
      </c>
      <c r="E16" s="17">
        <f>E11+SUM(E12:E15)</f>
        <v/>
      </c>
    </row>
    <row r="17">
      <c r="A17" s="6" t="inlineStr">
        <is>
          <t>KONTROLL: linjene minus resultat (skal være 0)</t>
        </is>
      </c>
      <c r="B17" s="4" t="inlineStr"/>
      <c r="C17" s="19">
        <f>(C11+C12+C13+C14+C15)-C16</f>
        <v/>
      </c>
      <c r="D17" s="19">
        <f>(D11+D12+D13+D14+D15)-D16</f>
        <v/>
      </c>
      <c r="E17" s="19">
        <f>(E11+E12+E13+E14+E15)-E16</f>
        <v/>
      </c>
    </row>
    <row r="18">
      <c r="A18" s="6" t="inlineStr">
        <is>
          <t>Resultat baseline (Økonomimotor)</t>
        </is>
      </c>
      <c r="B18" s="4" t="inlineStr"/>
      <c r="C18" s="20">
        <f>Økonomimotor!C28</f>
        <v/>
      </c>
      <c r="D18" s="20">
        <f>Økonomimotor!D28</f>
        <v/>
      </c>
      <c r="E18" s="20">
        <f>Økonomimotor!E28</f>
        <v/>
      </c>
    </row>
    <row r="19">
      <c r="A19" s="12" t="inlineStr">
        <is>
          <t>Spak-effekt på resultatet</t>
        </is>
      </c>
      <c r="B19" s="4" t="inlineStr"/>
      <c r="C19" s="17">
        <f>C16-C18</f>
        <v/>
      </c>
      <c r="D19" s="17">
        <f>D16-D18</f>
        <v/>
      </c>
      <c r="E19" s="17">
        <f>E16-E18</f>
        <v/>
      </c>
    </row>
    <row r="21">
      <c r="A21" s="12" t="inlineStr">
        <is>
          <t>BEHOV FOR MÅLET M/SPAKENE — selvkonsistent, samme metode som motoren. NB: FTE = produksjonskapasitet, IKKE personer.</t>
        </is>
      </c>
    </row>
    <row r="22">
      <c r="A22" s="6" t="inlineStr">
        <is>
          <t>Scenario A (≤4 bemannede): nødvendig megler-oms</t>
        </is>
      </c>
      <c r="B22" s="4" t="inlineStr"/>
      <c r="C22" s="19">
        <f>(Økonomimotor!C7+Forutsetninger!$B$25-2*Forutsetninger!$B$26-(Økonomimotor!C8-MIN(Forutsetninger!$B$37*Økonomimotor!C8,Forutsetninger!$B$36)*Forutsetninger!$B$38-($B$6*Forutsetninger!$B$41/$B$5)*Økonomimotor!C8))/(1-Forutsetninger!$B$34-($B$6*Forutsetninger!$B$41/$B$5)-Forutsetninger!$B$26/$B$7)</f>
        <v/>
      </c>
      <c r="D22" s="19">
        <f>(Økonomimotor!D7+Forutsetninger!$B$25-2*Forutsetninger!$B$26-(Økonomimotor!D8-MIN(Forutsetninger!$B$37*Økonomimotor!D8,Forutsetninger!$B$36)*Forutsetninger!$B$38-($B$6*Forutsetninger!$B$41/$B$5)*Økonomimotor!D8))/(1-Forutsetninger!$B$34-($B$6*Forutsetninger!$B$41/$B$5)-Forutsetninger!$B$26/$B$7)</f>
        <v/>
      </c>
      <c r="E22" s="19">
        <f>(Økonomimotor!E7+Forutsetninger!$B$25-2*Forutsetninger!$B$26-(Økonomimotor!E8-MIN(Forutsetninger!$B$37*Økonomimotor!E8,Forutsetninger!$B$36)*Forutsetninger!$B$38-($B$6*Forutsetninger!$B$41/$B$5)*Økonomimotor!E8))/(1-Forutsetninger!$B$34-($B$6*Forutsetninger!$B$41/$B$5)-Forutsetninger!$B$26/$B$7)</f>
        <v/>
      </c>
    </row>
    <row r="23">
      <c r="A23" s="6" t="inlineStr">
        <is>
          <t xml:space="preserve">   → producing FTE-behov A</t>
        </is>
      </c>
      <c r="B23" s="4" t="inlineStr"/>
      <c r="C23" s="29">
        <f>C22/$B$7</f>
        <v/>
      </c>
      <c r="D23" s="29">
        <f>D22/$B$7</f>
        <v/>
      </c>
      <c r="E23" s="29">
        <f>E22/$B$7</f>
        <v/>
      </c>
    </row>
    <row r="24">
      <c r="A24" s="6" t="inlineStr">
        <is>
          <t>Scenario B (5 bemannede, +leder): megler-oms</t>
        </is>
      </c>
      <c r="B24" s="4" t="inlineStr"/>
      <c r="C24" s="19">
        <f>(Økonomimotor!C7+Forutsetninger!$B$25-2*Forutsetninger!$B$26-(Økonomimotor!C8-MIN(Forutsetninger!$B$37*Økonomimotor!C8,Forutsetninger!$B$36)*Forutsetninger!$B$38-($B$6*Forutsetninger!$B$41/$B$5)*Økonomimotor!C8)+Forutsetninger!$B$29)/(1-Forutsetninger!$B$34-($B$6*Forutsetninger!$B$41/$B$5)-Forutsetninger!$B$26/$B$7)</f>
        <v/>
      </c>
      <c r="D24" s="19">
        <f>(Økonomimotor!D7+Forutsetninger!$B$25-2*Forutsetninger!$B$26-(Økonomimotor!D8-MIN(Forutsetninger!$B$37*Økonomimotor!D8,Forutsetninger!$B$36)*Forutsetninger!$B$38-($B$6*Forutsetninger!$B$41/$B$5)*Økonomimotor!D8)+Forutsetninger!$B$29)/(1-Forutsetninger!$B$34-($B$6*Forutsetninger!$B$41/$B$5)-Forutsetninger!$B$26/$B$7)</f>
        <v/>
      </c>
      <c r="E24" s="19">
        <f>(Økonomimotor!E7+Forutsetninger!$B$25-2*Forutsetninger!$B$26-(Økonomimotor!E8-MIN(Forutsetninger!$B$37*Økonomimotor!E8,Forutsetninger!$B$36)*Forutsetninger!$B$38-($B$6*Forutsetninger!$B$41/$B$5)*Økonomimotor!E8)+Forutsetninger!$B$29)/(1-Forutsetninger!$B$34-($B$6*Forutsetninger!$B$41/$B$5)-Forutsetninger!$B$26/$B$7)</f>
        <v/>
      </c>
    </row>
    <row r="25">
      <c r="A25" s="6" t="inlineStr">
        <is>
          <t xml:space="preserve">   → producing FTE-behov B</t>
        </is>
      </c>
      <c r="B25" s="4" t="inlineStr"/>
      <c r="C25" s="29">
        <f>C24/$B$7</f>
        <v/>
      </c>
      <c r="D25" s="29">
        <f>D24/$B$7</f>
        <v/>
      </c>
      <c r="E25" s="29">
        <f>E24/$B$7</f>
        <v/>
      </c>
    </row>
    <row r="26">
      <c r="A26" s="6" t="inlineStr">
        <is>
          <t>Scenario C (6–7, +leder+kontor): megler-oms</t>
        </is>
      </c>
      <c r="B26" s="4" t="inlineStr"/>
      <c r="C26" s="19">
        <f>(Økonomimotor!C7+Forutsetninger!$B$25-2*Forutsetninger!$B$26-(Økonomimotor!C8-MIN(Forutsetninger!$B$37*Økonomimotor!C8,Forutsetninger!$B$36)*Forutsetninger!$B$38-($B$6*Forutsetninger!$B$41/$B$5)*Økonomimotor!C8)+Forutsetninger!$B$29+Forutsetninger!$B$28)/(1-Forutsetninger!$B$34-($B$6*Forutsetninger!$B$41/$B$5)-Forutsetninger!$B$26/$B$7)</f>
        <v/>
      </c>
      <c r="D26" s="19">
        <f>(Økonomimotor!D7+Forutsetninger!$B$25-2*Forutsetninger!$B$26-(Økonomimotor!D8-MIN(Forutsetninger!$B$37*Økonomimotor!D8,Forutsetninger!$B$36)*Forutsetninger!$B$38-($B$6*Forutsetninger!$B$41/$B$5)*Økonomimotor!D8)+Forutsetninger!$B$29+Forutsetninger!$B$28)/(1-Forutsetninger!$B$34-($B$6*Forutsetninger!$B$41/$B$5)-Forutsetninger!$B$26/$B$7)</f>
        <v/>
      </c>
      <c r="E26" s="19">
        <f>(Økonomimotor!E7+Forutsetninger!$B$25-2*Forutsetninger!$B$26-(Økonomimotor!E8-MIN(Forutsetninger!$B$37*Økonomimotor!E8,Forutsetninger!$B$36)*Forutsetninger!$B$38-($B$6*Forutsetninger!$B$41/$B$5)*Økonomimotor!E8)+Forutsetninger!$B$29+Forutsetninger!$B$28)/(1-Forutsetninger!$B$34-($B$6*Forutsetninger!$B$41/$B$5)-Forutsetninger!$B$26/$B$7)</f>
        <v/>
      </c>
    </row>
    <row r="27">
      <c r="A27" s="6" t="inlineStr">
        <is>
          <t xml:space="preserve">   → producing FTE-behov C</t>
        </is>
      </c>
      <c r="B27" s="4" t="inlineStr"/>
      <c r="C27" s="29">
        <f>C26/$B$7</f>
        <v/>
      </c>
      <c r="D27" s="29">
        <f>D26/$B$7</f>
        <v/>
      </c>
      <c r="E27" s="29">
        <f>E26/$B$7</f>
        <v/>
      </c>
    </row>
    <row r="28">
      <c r="A28" s="6" t="inlineStr">
        <is>
          <t>Scenario D (≥8, +leder+kontor+backoffice): megler-oms</t>
        </is>
      </c>
      <c r="B28" s="4" t="inlineStr"/>
      <c r="C28" s="19">
        <f>(Økonomimotor!C7+Forutsetninger!$B$25-2*Forutsetninger!$B$26-(Økonomimotor!C8-MIN(Forutsetninger!$B$37*Økonomimotor!C8,Forutsetninger!$B$36)*Forutsetninger!$B$38-($B$6*Forutsetninger!$B$41/$B$5)*Økonomimotor!C8)+Forutsetninger!$B$29+Forutsetninger!$B$28+Forutsetninger!$B$30)/(1-Forutsetninger!$B$34-($B$6*Forutsetninger!$B$41/$B$5)-Forutsetninger!$B$26/$B$7)</f>
        <v/>
      </c>
      <c r="D28" s="19">
        <f>(Økonomimotor!D7+Forutsetninger!$B$25-2*Forutsetninger!$B$26-(Økonomimotor!D8-MIN(Forutsetninger!$B$37*Økonomimotor!D8,Forutsetninger!$B$36)*Forutsetninger!$B$38-($B$6*Forutsetninger!$B$41/$B$5)*Økonomimotor!D8)+Forutsetninger!$B$29+Forutsetninger!$B$28+Forutsetninger!$B$30)/(1-Forutsetninger!$B$34-($B$6*Forutsetninger!$B$41/$B$5)-Forutsetninger!$B$26/$B$7)</f>
        <v/>
      </c>
      <c r="E28" s="19">
        <f>(Økonomimotor!E7+Forutsetninger!$B$25-2*Forutsetninger!$B$26-(Økonomimotor!E8-MIN(Forutsetninger!$B$37*Økonomimotor!E8,Forutsetninger!$B$36)*Forutsetninger!$B$38-($B$6*Forutsetninger!$B$41/$B$5)*Økonomimotor!E8)+Forutsetninger!$B$29+Forutsetninger!$B$28+Forutsetninger!$B$30)/(1-Forutsetninger!$B$34-($B$6*Forutsetninger!$B$41/$B$5)-Forutsetninger!$B$26/$B$7)</f>
        <v/>
      </c>
    </row>
    <row r="29">
      <c r="A29" s="6" t="inlineStr">
        <is>
          <t xml:space="preserve">   → producing FTE-behov D</t>
        </is>
      </c>
      <c r="B29" s="4" t="inlineStr"/>
      <c r="C29" s="29">
        <f>C28/$B$7</f>
        <v/>
      </c>
      <c r="D29" s="29">
        <f>D28/$B$7</f>
        <v/>
      </c>
      <c r="E29" s="29">
        <f>E28/$B$7</f>
        <v/>
      </c>
    </row>
    <row r="30">
      <c r="A30" s="12" t="inlineStr">
        <is>
          <t>ENDELIG nødvendig total omsetning m/spakene</t>
        </is>
      </c>
      <c r="B30" s="4" t="inlineStr">
        <is>
          <t>(konsistent scenario)</t>
        </is>
      </c>
      <c r="C30" s="17">
        <f>IF(ROUNDUP(C23,0)&lt;=4,C22,IF(ROUNDUP(C25,0)&lt;=5,C24,IF(ROUNDUP(C27,0)&lt;=7,C26,C28)))+Økonomimotor!C8</f>
        <v/>
      </c>
      <c r="D30" s="17">
        <f>IF(ROUNDUP(D23,0)&lt;=4,D22,IF(ROUNDUP(D25,0)&lt;=5,D24,IF(ROUNDUP(D27,0)&lt;=7,D26,D28)))+Økonomimotor!D8</f>
        <v/>
      </c>
      <c r="E30" s="17">
        <f>IF(ROUNDUP(E23,0)&lt;=4,E22,IF(ROUNDUP(E25,0)&lt;=5,E24,IF(ROUNDUP(E27,0)&lt;=7,E26,E28)))+Økonomimotor!E8</f>
        <v/>
      </c>
    </row>
    <row r="31">
      <c r="A31" s="12" t="inlineStr">
        <is>
          <t>ENDELIG producing FTE-behov m/spakene</t>
        </is>
      </c>
      <c r="B31" s="4" t="inlineStr"/>
      <c r="C31" s="30">
        <f>(C30-Økonomimotor!C8)/$B$7</f>
        <v/>
      </c>
      <c r="D31" s="30">
        <f>(D30-Økonomimotor!D8)/$B$7</f>
        <v/>
      </c>
      <c r="E31" s="30">
        <f>(E30-Økonomimotor!E8)/$B$7</f>
        <v/>
      </c>
    </row>
    <row r="32">
      <c r="A32" s="12" t="inlineStr">
        <is>
          <t>Bemannede meglere, steady-state (rundet opp)</t>
        </is>
      </c>
      <c r="B32" s="4" t="inlineStr">
        <is>
          <t>(rampede — i INNFASINGSÅR trengs flere pga ramp)</t>
        </is>
      </c>
      <c r="C32" s="24">
        <f>ROUNDUP(C31,0)</f>
        <v/>
      </c>
      <c r="D32" s="24">
        <f>ROUNDUP(D31,0)</f>
        <v/>
      </c>
      <c r="E32" s="24">
        <f>ROUNDUP(E31,0)</f>
        <v/>
      </c>
    </row>
    <row r="33">
      <c r="A33" s="6" t="inlineStr">
        <is>
          <t>Producing FTE-behov baseline (Økonomimotor)</t>
        </is>
      </c>
      <c r="B33" s="4" t="inlineStr"/>
      <c r="C33" s="35">
        <f>Økonomimotor!C52</f>
        <v/>
      </c>
      <c r="D33" s="35">
        <f>Økonomimotor!D52</f>
        <v/>
      </c>
      <c r="E33" s="35">
        <f>Økonomimotor!E52</f>
        <v/>
      </c>
    </row>
    <row r="36">
      <c r="A36" s="12" t="inlineStr">
        <is>
          <t>DE FIRE SPAKENE (CFO-analysen jul 2026) — verdt å hente FØR flere stoler rekrutteres:</t>
        </is>
      </c>
    </row>
    <row r="37">
      <c r="A37" s="6" t="inlineStr">
        <is>
          <t>A. Provisjonsdisiplin: 13 av 38 H1-salg under 6 %/45k = ~266k tapt provisjon. Rabatt krever Sindres godkjenning. ~200k+/år.</t>
        </is>
      </c>
    </row>
    <row r="38">
      <c r="A38" s="6" t="inlineStr">
        <is>
          <t>B. Marte-tripwire (18. okt): Henrik må vise 1,9M+ årstakt og bedre befaring-rate. Svinger resultatet 500–700k. Status aug: behold.</t>
        </is>
      </c>
    </row>
    <row r="39">
      <c r="A39" s="6" t="inlineStr">
        <is>
          <t>C. Markedskost-tak: 15k-tak håndheves; frys markedsføring over taket til pris justeres. Mål 4 552/oppdrag (målt 6 600).</t>
        </is>
      </c>
    </row>
    <row r="40">
      <c r="A40" s="6" t="inlineStr">
        <is>
          <t>D. Sindres 7,1G-uttak: alt Sindre omsetter over ~2,15M koster ikke mer lønn — hans marginale omsetning er firmaets mest lønnsomme.</t>
        </is>
      </c>
    </row>
    <row r="41">
      <c r="A41" s="6" t="inlineStr">
        <is>
          <t>E. (Ny) Premium-miks: fasit-snittet er 58 375/båt (median 50 400). Hver 10 000 kr høyere inntekt/båt ≈ 15–20 % færre båter for samme mål.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12" customWidth="1" min="26" max="26"/>
    <col width="12" customWidth="1" min="27" max="27"/>
  </cols>
  <sheetData>
    <row r="1">
      <c r="A1" s="1" t="inlineStr">
        <is>
          <t>LIKVIDITET — månedlig kontantstrøm jan 2027 – des 2028</t>
        </is>
      </c>
    </row>
    <row r="2">
      <c r="A2" s="4" t="inlineStr">
        <is>
          <t>Samme motor som resten av boka (Forutsetninger). GUL = ditt valg. Ferske åpningstall per 28.08.2026. Alt merket ANSLAG/PLASSHOLDER kan justeres fritt.</t>
        </is>
      </c>
    </row>
    <row r="3">
      <c r="A3" s="2" t="inlineStr">
        <is>
          <t>NØKKELTALL (regnes av tabellen under)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6" t="inlineStr">
        <is>
          <t>Laveste kontantsaldo i perioden</t>
        </is>
      </c>
      <c r="B4" s="36">
        <f>MIN(B102:Y102)</f>
        <v/>
      </c>
    </row>
    <row r="5">
      <c r="A5" s="6" t="inlineStr">
        <is>
          <t>— inntreffer i måned</t>
        </is>
      </c>
      <c r="B5" s="12">
        <f>INDEX(B53:Y53,1,MATCH(MIN(B102:Y102),B102:Y102,0))</f>
        <v/>
      </c>
    </row>
    <row r="6">
      <c r="A6" s="6" t="inlineStr">
        <is>
          <t>Margin mot minimumsbuffer på lavpunktet</t>
        </is>
      </c>
      <c r="B6" s="8">
        <f>MIN(B102:Y102)-$B$29</f>
        <v/>
      </c>
    </row>
    <row r="7">
      <c r="A7" s="6" t="inlineStr">
        <is>
          <t>Antall måneder under bufferen</t>
        </is>
      </c>
      <c r="B7" s="7">
        <f>COUNTIF(B102:Y102,"&lt;"&amp;$B$29)</f>
        <v/>
      </c>
    </row>
    <row r="8">
      <c r="A8" s="6" t="inlineStr">
        <is>
          <t>Laveste saldo + kassekreditt (bunn før overtrekk)</t>
        </is>
      </c>
      <c r="B8" s="36">
        <f>MIN(B102:Y102)+$B$30</f>
        <v/>
      </c>
    </row>
    <row r="9">
      <c r="A9" s="6" t="inlineStr">
        <is>
          <t>Kontantsaldo ved utgangen (des 2028)</t>
        </is>
      </c>
      <c r="B9" s="8">
        <f>Y102</f>
        <v/>
      </c>
    </row>
    <row r="11">
      <c r="A11" s="37" t="inlineStr">
        <is>
          <t>FERSKE TALL FRA POWEROFFICE  (hentet 2026-08-29 — oppdateres nattlig)</t>
        </is>
      </c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</row>
    <row r="12">
      <c r="A12" s="6" t="inlineStr">
        <is>
          <t>Bank — PowerOffice-hovedbok (alle 19xx)</t>
        </is>
      </c>
      <c r="B12" s="39" t="n">
        <v>-289975</v>
      </c>
      <c r="C12" s="40" t="inlineStr">
        <is>
          <t>AVSTEMMING: sammenlign med reell banksaldo i A. Stort avvik = uposterte bilag (hovedboka henger etter).</t>
        </is>
      </c>
    </row>
    <row r="13">
      <c r="A13" s="6" t="inlineStr">
        <is>
          <t>Kundefordringer (hovedbok 15xx)</t>
        </is>
      </c>
      <c r="B13" s="39" t="n">
        <v>1429008</v>
      </c>
      <c r="C13" s="40" t="inlineStr">
        <is>
          <t>Utestående kundefordringer. Åpne poster (reell AR): 1 429 008</t>
        </is>
      </c>
    </row>
    <row r="14">
      <c r="A14" s="6" t="inlineStr">
        <is>
          <t>Leverandørgjeld (24xx)</t>
        </is>
      </c>
      <c r="B14" s="39" t="n">
        <v>-17130</v>
      </c>
      <c r="C14" s="40" t="inlineStr">
        <is>
          <t>Negativt = gjeld.</t>
        </is>
      </c>
    </row>
    <row r="15">
      <c r="A15" s="6" t="inlineStr">
        <is>
          <t>Utgående mva-gjeld (27xx)</t>
        </is>
      </c>
      <c r="B15" s="39" t="n">
        <v>-578155</v>
      </c>
      <c r="C15" s="40" t="inlineStr">
        <is>
          <t>Negativt = skyldig mva. Betales ved neste termin (i praksis i Q4 2026 — del av bro sep–des).</t>
        </is>
      </c>
    </row>
    <row r="16">
      <c r="A16" s="6" t="inlineStr">
        <is>
          <t>Skyldig skattetrekk (26xx)</t>
        </is>
      </c>
      <c r="B16" s="39" t="n">
        <v>0</v>
      </c>
      <c r="C16" s="40" t="inlineStr">
        <is>
          <t>Bundet på skattetrekkskonto.</t>
        </is>
      </c>
    </row>
    <row r="17">
      <c r="A17" s="6" t="inlineStr">
        <is>
          <t>Betalbar skatt (25xx)</t>
        </is>
      </c>
      <c r="B17" s="39" t="n">
        <v>14636</v>
      </c>
    </row>
    <row r="18">
      <c r="A18" s="6" t="inlineStr">
        <is>
          <t>Driftskost annualisert (6xxx+7xxx, u/lønn)</t>
        </is>
      </c>
      <c r="B18" s="39" t="n">
        <v>262779</v>
      </c>
      <c r="C18" s="40" t="inlineStr">
        <is>
          <t>Fra 14 mnd posteringer × 12. Lønn (5xxx) = 1 002 310 i vinduet (inkl. megler+Marte+Philip — må splittes før kostbase-kalibrering).</t>
        </is>
      </c>
    </row>
    <row r="19">
      <c r="A19" s="40" t="inlineStr">
        <is>
          <t>Grønne tall hentes automatisk fra PowerOffice hver gang boka bygges. De er FERSK POSISJON i dag (28.08) — modellen starter jan 2027, så bruk dem til å sette broen sep–des 2026 og overheng, ikke som direkte januartall.</t>
        </is>
      </c>
    </row>
    <row r="21">
      <c r="A21" s="37" t="inlineStr">
        <is>
          <t>A. ÅPNINGSPOSISJON OG STYRINGSVALG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</row>
    <row r="22">
      <c r="A22" s="6" t="inlineStr">
        <is>
          <t>Hovedbok 1920 — bank (live fra PowerOffice)</t>
        </is>
      </c>
      <c r="B22" s="39" t="n">
        <v>-289978</v>
      </c>
      <c r="C22" s="4" t="inlineStr">
        <is>
          <t>Bokført banksaldo (henger etter reell bank med differansen under).</t>
        </is>
      </c>
    </row>
    <row r="23">
      <c r="A23" s="6" t="inlineStr">
        <is>
          <t>+ Avstemmingsdifferanse (kontoutskrift − hovedbok 1920)</t>
        </is>
      </c>
      <c r="B23" s="34" t="n">
        <v>1360037</v>
      </c>
      <c r="C23" s="40" t="inlineStr">
        <is>
          <t>Fra PO bankavstemming 14.09.2026: 1 069 274 − (−290 763) = 1 360 037. Frossen historisk differanse (avstemmingen viser «Sum bevegelser 0»). Oppdater fra GO-rapporten ved behov.</t>
        </is>
      </c>
    </row>
    <row r="24">
      <c r="A24" s="12">
        <f> Reell banksaldo (kontoutskrift)</f>
        <v/>
      </c>
      <c r="B24" s="8">
        <f>$B$22+$B$23</f>
        <v/>
      </c>
      <c r="C24" s="4">
        <f> hovedbok 1920 + differanse ≈ «Saldo kontoutskrift» i GO. Oppdateres live når 1920 synkes. UTEN kassekreditt (se under).</f>
        <v/>
      </c>
    </row>
    <row r="25">
      <c r="A25" s="6" t="inlineStr">
        <is>
          <t>— herav bundet skattetrekk (utilgjengelig)</t>
        </is>
      </c>
      <c r="B25" s="34" t="n">
        <v>0</v>
      </c>
      <c r="C25" s="40" t="inlineStr">
        <is>
          <t>Auto fra PowerOffice (konto 26xx).</t>
        </is>
      </c>
    </row>
    <row r="26">
      <c r="A26" s="6" t="inlineStr">
        <is>
          <t>Disponibel saldo i dag</t>
        </is>
      </c>
      <c r="B26" s="8">
        <f>$B$24-$B$25</f>
        <v/>
      </c>
    </row>
    <row r="27">
      <c r="A27" s="6" t="inlineStr">
        <is>
          <t>Netto driftskontantstrøm sep–des 2026 (bro til nyttår)</t>
        </is>
      </c>
      <c r="B27" s="34" t="n">
        <v>0</v>
      </c>
      <c r="C27" s="40" t="inlineStr">
        <is>
          <t>PLASSHOLDER. Netto inn−ut sep–des 2026 EKSKL. provisjon som først innbetales i 2027 (ligger i «overheng» under).</t>
        </is>
      </c>
    </row>
    <row r="28">
      <c r="A28" s="12">
        <f> ÅPNINGSSALDO 1. jan 2027</f>
        <v/>
      </c>
      <c r="B28" s="8">
        <f>$B$26+$B$27</f>
        <v/>
      </c>
    </row>
    <row r="29">
      <c r="A29" s="6" t="inlineStr">
        <is>
          <t>Minimumsbuffer (ønsket bunnivå på konto)</t>
        </is>
      </c>
      <c r="B29" s="34" t="n">
        <v>500000</v>
      </c>
      <c r="C29" s="40" t="inlineStr">
        <is>
          <t>Ditt valg. Modellen flagger måneder under dette.</t>
        </is>
      </c>
    </row>
    <row r="30">
      <c r="A30" s="6" t="inlineStr">
        <is>
          <t>Tilgjengelig kassekreditt (overtrekksramme)</t>
        </is>
      </c>
      <c r="B30" s="34" t="n">
        <v>200000</v>
      </c>
      <c r="C30" s="40" t="inlineStr">
        <is>
          <t>Ekstra likviditet på toppen — kontoutskrift-saldoen er UTEN denne. Reell bunn før overtrekk = −kassekreditt.</t>
        </is>
      </c>
    </row>
    <row r="31">
      <c r="A31" s="6" t="inlineStr">
        <is>
          <t>Cash-lag scenario (1=Base median ~14d · 2=Plan P75 ~32d · 3=Stress P90 ~61d)</t>
        </is>
      </c>
      <c r="B31" s="41" t="n">
        <v>1</v>
      </c>
      <c r="C31" s="40" t="inlineStr">
        <is>
          <t>DOKUMENTERT deal-for-deal (solgt→faktura, n=92, se deal-for-deal-oppgjor.csv): median 14d, P75 32d, P90 61d, maks 116. Andel betalt innen 7/14/30/60d = 23/51/75/89 %. FOR ANSETTELSESBESLUTNINGER: bruk Plan (P75=2). NB (rådgiver): fakturadato brukes som OPERATIV cash-proxy fordi provisjonen normalt er tilgjengelig ved oppgjør — dette må avstemmes mot FAKTISK bankdato. Bokført betalt ligger i flere tilfeller 50–100 d etter faktura (bevis bokføringsetterslep, ikke at cash var tilgjengelig samme dag). Hent bankdato for de store oppgjørene.</t>
        </is>
      </c>
    </row>
    <row r="32">
      <c r="A32" s="6" t="inlineStr">
        <is>
          <t>Sesongprofil på salg (1=empirisk · 0=flatt 1/12)</t>
        </is>
      </c>
      <c r="B32" s="41" t="n">
        <v>1</v>
      </c>
      <c r="C32" s="40" t="inlineStr">
        <is>
          <t>1 = fordel salget som FAKTISK målt (mai–jul tungt, vinter tynt). 0 = jevnt.</t>
        </is>
      </c>
    </row>
    <row r="33">
      <c r="A33" s="6" t="inlineStr">
        <is>
          <t>Markedsføring betales N mnd FØR salget</t>
        </is>
      </c>
      <c r="B33" s="41" t="n">
        <v>3</v>
      </c>
      <c r="C33" s="40" t="inlineStr">
        <is>
          <t>Annonsering/foto betales når oppdraget signeres, ~89 dg (3 mnd) før salg.</t>
        </is>
      </c>
    </row>
    <row r="34">
      <c r="A34" s="6" t="inlineStr">
        <is>
          <t>Meglerutbetaling N mnd etter salg</t>
        </is>
      </c>
      <c r="B34" s="41" t="n">
        <v>0</v>
      </c>
      <c r="C34" s="40" t="inlineStr">
        <is>
          <t>0 = megler får oppgjør samme måned som salget (konservativt).</t>
        </is>
      </c>
    </row>
    <row r="35">
      <c r="A35" s="6" t="inlineStr">
        <is>
          <t>Mva-sats (utgående/inngående)</t>
        </is>
      </c>
      <c r="B35" s="42" t="n">
        <v>0.25</v>
      </c>
      <c r="C35" s="40" t="inlineStr">
        <is>
          <t>Standard 25 %.</t>
        </is>
      </c>
    </row>
    <row r="36">
      <c r="A36" s="6" t="inlineStr">
        <is>
          <t>Mva-belagt andel av kostbasen</t>
        </is>
      </c>
      <c r="B36" s="42" t="n">
        <v>0.35</v>
      </c>
      <c r="C36" s="40" t="inlineStr">
        <is>
          <t>PLANANTAKELSE: andel av kostbasen (ekskl. lønn) med inngående mva.</t>
        </is>
      </c>
    </row>
    <row r="38">
      <c r="A38" s="37" t="inlineStr">
        <is>
          <t>B. BETALINGSPROFIL — andel av en salgsmåneds provisjon innbetalt m/forsinkelse</t>
        </is>
      </c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</row>
    <row r="39">
      <c r="A39" s="9" t="inlineStr">
        <is>
          <t>Profil</t>
        </is>
      </c>
      <c r="B39" s="9" t="inlineStr">
        <is>
          <t>salgsmnd</t>
        </is>
      </c>
      <c r="C39" s="9" t="inlineStr">
        <is>
          <t>+1 mnd</t>
        </is>
      </c>
      <c r="D39" s="9" t="inlineStr">
        <is>
          <t>+2 mnd</t>
        </is>
      </c>
      <c r="E39" s="9" t="inlineStr">
        <is>
          <t>+3 mnd</t>
        </is>
      </c>
      <c r="F39" s="9" t="inlineStr">
        <is>
          <t>+4 mnd</t>
        </is>
      </c>
      <c r="G39" s="9" t="inlineStr">
        <is>
          <t>snitt (dg)</t>
        </is>
      </c>
    </row>
    <row r="40">
      <c r="A40" s="6" t="inlineStr">
        <is>
          <t>1 Base — faktisk median (~14d)</t>
        </is>
      </c>
      <c r="B40" s="43" t="n">
        <v>0.54</v>
      </c>
      <c r="C40" s="43" t="n">
        <v>0.3</v>
      </c>
      <c r="D40" s="43" t="n">
        <v>0.1</v>
      </c>
      <c r="E40" s="43" t="n">
        <v>0.03</v>
      </c>
      <c r="F40" s="43" t="n">
        <v>0.03</v>
      </c>
      <c r="G40" s="44">
        <f>(C40*1+D40*2+E40*3+F40*4)*30.4</f>
        <v/>
      </c>
    </row>
    <row r="41">
      <c r="A41" s="6" t="inlineStr">
        <is>
          <t>2 Plan — P75 (~32d)</t>
        </is>
      </c>
      <c r="B41" s="45" t="n">
        <v>0.3</v>
      </c>
      <c r="C41" s="45" t="n">
        <v>0.4</v>
      </c>
      <c r="D41" s="45" t="n">
        <v>0.2</v>
      </c>
      <c r="E41" s="45" t="n">
        <v>0.07000000000000001</v>
      </c>
      <c r="F41" s="45" t="n">
        <v>0.03</v>
      </c>
      <c r="G41" s="44">
        <f>(C41*1+D41*2+E41*3+F41*4)*30.4</f>
        <v/>
      </c>
    </row>
    <row r="42">
      <c r="A42" s="6" t="inlineStr">
        <is>
          <t>3 Stress — P90 (~61d)</t>
        </is>
      </c>
      <c r="B42" s="43" t="n">
        <v>0.1</v>
      </c>
      <c r="C42" s="43" t="n">
        <v>0.25</v>
      </c>
      <c r="D42" s="43" t="n">
        <v>0.4</v>
      </c>
      <c r="E42" s="43" t="n">
        <v>0.2</v>
      </c>
      <c r="F42" s="43" t="n">
        <v>0.05</v>
      </c>
      <c r="G42" s="44">
        <f>(C42*1+D42*2+E42*3+F42*4)*30.4</f>
        <v/>
      </c>
    </row>
    <row r="43">
      <c r="A43" s="12" t="inlineStr">
        <is>
          <t>AKTIV PROFIL (valgt av scenario over)</t>
        </is>
      </c>
      <c r="B43" s="15">
        <f>CHOOSE($B$31,B40,B41,B42)</f>
        <v/>
      </c>
      <c r="C43" s="15">
        <f>CHOOSE($B$31,C40,C41,C42)</f>
        <v/>
      </c>
      <c r="D43" s="15">
        <f>CHOOSE($B$31,D40,D41,D42)</f>
        <v/>
      </c>
      <c r="E43" s="15">
        <f>CHOOSE($B$31,E40,E41,E42)</f>
        <v/>
      </c>
      <c r="F43" s="15">
        <f>CHOOSE($B$31,F40,F41,F42)</f>
        <v/>
      </c>
      <c r="G43" s="46">
        <f>SUM(B43:F43)</f>
        <v/>
      </c>
    </row>
    <row r="44">
      <c r="A44" s="4" t="inlineStr">
        <is>
          <t>Kontroll: aktiv profil = 100 %</t>
        </is>
      </c>
      <c r="B44" s="46">
        <f>SUM(B43:F43)</f>
        <v/>
      </c>
    </row>
    <row r="46">
      <c r="A46" s="37" t="inlineStr">
        <is>
          <t>C. SESONGINDEKS — månedsandel av årets provisjon (FAKTISK målt, oppgjør 2025+2026)</t>
        </is>
      </c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</row>
    <row r="47">
      <c r="A47" s="4" t="inlineStr"/>
      <c r="B47" s="47" t="inlineStr">
        <is>
          <t>jan</t>
        </is>
      </c>
      <c r="C47" s="47" t="inlineStr">
        <is>
          <t>feb</t>
        </is>
      </c>
      <c r="D47" s="47" t="inlineStr">
        <is>
          <t>mar</t>
        </is>
      </c>
      <c r="E47" s="47" t="inlineStr">
        <is>
          <t>apr</t>
        </is>
      </c>
      <c r="F47" s="47" t="inlineStr">
        <is>
          <t>mai</t>
        </is>
      </c>
      <c r="G47" s="47" t="inlineStr">
        <is>
          <t>jun</t>
        </is>
      </c>
      <c r="H47" s="47" t="inlineStr">
        <is>
          <t>jul</t>
        </is>
      </c>
      <c r="I47" s="47" t="inlineStr">
        <is>
          <t>aug</t>
        </is>
      </c>
      <c r="J47" s="47" t="inlineStr">
        <is>
          <t>sep</t>
        </is>
      </c>
      <c r="K47" s="47" t="inlineStr">
        <is>
          <t>okt</t>
        </is>
      </c>
      <c r="L47" s="47" t="inlineStr">
        <is>
          <t>nov</t>
        </is>
      </c>
      <c r="M47" s="47" t="inlineStr">
        <is>
          <t>des</t>
        </is>
      </c>
    </row>
    <row r="48">
      <c r="A48" s="6" t="inlineStr">
        <is>
          <t>Andel av årsprovisjon per måned</t>
        </is>
      </c>
      <c r="B48" s="42" t="n">
        <v>0.03</v>
      </c>
      <c r="C48" s="42" t="n">
        <v>0.0524</v>
      </c>
      <c r="D48" s="42" t="n">
        <v>0.08740000000000001</v>
      </c>
      <c r="E48" s="42" t="n">
        <v>0.0554</v>
      </c>
      <c r="F48" s="42" t="n">
        <v>0.1728</v>
      </c>
      <c r="G48" s="42" t="n">
        <v>0.2095</v>
      </c>
      <c r="H48" s="42" t="n">
        <v>0.1457</v>
      </c>
      <c r="I48" s="42" t="n">
        <v>0.0554</v>
      </c>
      <c r="J48" s="42" t="n">
        <v>0.08160000000000001</v>
      </c>
      <c r="K48" s="42" t="n">
        <v>0.034</v>
      </c>
      <c r="L48" s="42" t="n">
        <v>0.0447</v>
      </c>
      <c r="M48" s="42" t="n">
        <v>0.0311</v>
      </c>
    </row>
    <row r="49">
      <c r="A49" s="4" t="inlineStr">
        <is>
          <t>Kontroll: summerer til 100 %</t>
        </is>
      </c>
      <c r="B49" s="46">
        <f>SUM(B48:M48)</f>
        <v/>
      </c>
      <c r="D49" s="4" t="inlineStr">
        <is>
          <t>jan≈0 i rådata (lite utvalg) → 3 % gulv + renormalisert. Mai–jul ≈ 53 % av året.</t>
        </is>
      </c>
    </row>
    <row r="51">
      <c r="A51" s="37" t="inlineStr">
        <is>
          <t>D. BEMANNING → PRODUKSJONSKAPASITET (samme ramp som motoren)</t>
        </is>
      </c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</row>
    <row r="52">
      <c r="A52" s="40" t="inlineStr">
        <is>
          <t>Oppstartsmåned per stol (GUL, i «start»-kolonnen ytterst). 1 = jan 2027 … 24 = des 2028. Negativt = allerede rampet. Tom = ledig. Ramp mnd 1–3=40 %, 4–6=75 %, 7+=100 % (Forutsetninger).</t>
        </is>
      </c>
    </row>
    <row r="53">
      <c r="A53" s="12" t="inlineStr">
        <is>
          <t>Stol \ måned →</t>
        </is>
      </c>
      <c r="B53" s="28" t="inlineStr">
        <is>
          <t>jan 27</t>
        </is>
      </c>
      <c r="C53" s="28" t="inlineStr">
        <is>
          <t>feb 27</t>
        </is>
      </c>
      <c r="D53" s="28" t="inlineStr">
        <is>
          <t>mar 27</t>
        </is>
      </c>
      <c r="E53" s="28" t="inlineStr">
        <is>
          <t>apr 27</t>
        </is>
      </c>
      <c r="F53" s="28" t="inlineStr">
        <is>
          <t>mai 27</t>
        </is>
      </c>
      <c r="G53" s="28" t="inlineStr">
        <is>
          <t>jun 27</t>
        </is>
      </c>
      <c r="H53" s="28" t="inlineStr">
        <is>
          <t>jul 27</t>
        </is>
      </c>
      <c r="I53" s="28" t="inlineStr">
        <is>
          <t>aug 27</t>
        </is>
      </c>
      <c r="J53" s="28" t="inlineStr">
        <is>
          <t>sep 27</t>
        </is>
      </c>
      <c r="K53" s="28" t="inlineStr">
        <is>
          <t>okt 27</t>
        </is>
      </c>
      <c r="L53" s="28" t="inlineStr">
        <is>
          <t>nov 27</t>
        </is>
      </c>
      <c r="M53" s="28" t="inlineStr">
        <is>
          <t>des 27</t>
        </is>
      </c>
      <c r="N53" s="28" t="inlineStr">
        <is>
          <t>jan 28</t>
        </is>
      </c>
      <c r="O53" s="28" t="inlineStr">
        <is>
          <t>feb 28</t>
        </is>
      </c>
      <c r="P53" s="28" t="inlineStr">
        <is>
          <t>mar 28</t>
        </is>
      </c>
      <c r="Q53" s="28" t="inlineStr">
        <is>
          <t>apr 28</t>
        </is>
      </c>
      <c r="R53" s="28" t="inlineStr">
        <is>
          <t>mai 28</t>
        </is>
      </c>
      <c r="S53" s="28" t="inlineStr">
        <is>
          <t>jun 28</t>
        </is>
      </c>
      <c r="T53" s="28" t="inlineStr">
        <is>
          <t>jul 28</t>
        </is>
      </c>
      <c r="U53" s="28" t="inlineStr">
        <is>
          <t>aug 28</t>
        </is>
      </c>
      <c r="V53" s="28" t="inlineStr">
        <is>
          <t>sep 28</t>
        </is>
      </c>
      <c r="W53" s="28" t="inlineStr">
        <is>
          <t>okt 28</t>
        </is>
      </c>
      <c r="X53" s="28" t="inlineStr">
        <is>
          <t>nov 28</t>
        </is>
      </c>
      <c r="Y53" s="28" t="inlineStr">
        <is>
          <t>des 28</t>
        </is>
      </c>
      <c r="Z53" s="37" t="inlineStr">
        <is>
          <t>start</t>
        </is>
      </c>
    </row>
    <row r="54">
      <c r="A54" s="6" t="inlineStr">
        <is>
          <t>Megler-stol 1 (Henrik — rampet)</t>
        </is>
      </c>
      <c r="B54" s="48">
        <f>IF($Z$54="",0,IF(1&lt;$Z$54,0,IF(1-$Z$54&lt;3,Forutsetninger!$B$20,IF(1-$Z$54&lt;6,Forutsetninger!$B$21,Forutsetninger!$B$22))))</f>
        <v/>
      </c>
      <c r="C54" s="48">
        <f>IF($Z$54="",0,IF(2&lt;$Z$54,0,IF(2-$Z$54&lt;3,Forutsetninger!$B$20,IF(2-$Z$54&lt;6,Forutsetninger!$B$21,Forutsetninger!$B$22))))</f>
        <v/>
      </c>
      <c r="D54" s="48">
        <f>IF($Z$54="",0,IF(3&lt;$Z$54,0,IF(3-$Z$54&lt;3,Forutsetninger!$B$20,IF(3-$Z$54&lt;6,Forutsetninger!$B$21,Forutsetninger!$B$22))))</f>
        <v/>
      </c>
      <c r="E54" s="48">
        <f>IF($Z$54="",0,IF(4&lt;$Z$54,0,IF(4-$Z$54&lt;3,Forutsetninger!$B$20,IF(4-$Z$54&lt;6,Forutsetninger!$B$21,Forutsetninger!$B$22))))</f>
        <v/>
      </c>
      <c r="F54" s="48">
        <f>IF($Z$54="",0,IF(5&lt;$Z$54,0,IF(5-$Z$54&lt;3,Forutsetninger!$B$20,IF(5-$Z$54&lt;6,Forutsetninger!$B$21,Forutsetninger!$B$22))))</f>
        <v/>
      </c>
      <c r="G54" s="48">
        <f>IF($Z$54="",0,IF(6&lt;$Z$54,0,IF(6-$Z$54&lt;3,Forutsetninger!$B$20,IF(6-$Z$54&lt;6,Forutsetninger!$B$21,Forutsetninger!$B$22))))</f>
        <v/>
      </c>
      <c r="H54" s="48">
        <f>IF($Z$54="",0,IF(7&lt;$Z$54,0,IF(7-$Z$54&lt;3,Forutsetninger!$B$20,IF(7-$Z$54&lt;6,Forutsetninger!$B$21,Forutsetninger!$B$22))))</f>
        <v/>
      </c>
      <c r="I54" s="48">
        <f>IF($Z$54="",0,IF(8&lt;$Z$54,0,IF(8-$Z$54&lt;3,Forutsetninger!$B$20,IF(8-$Z$54&lt;6,Forutsetninger!$B$21,Forutsetninger!$B$22))))</f>
        <v/>
      </c>
      <c r="J54" s="48">
        <f>IF($Z$54="",0,IF(9&lt;$Z$54,0,IF(9-$Z$54&lt;3,Forutsetninger!$B$20,IF(9-$Z$54&lt;6,Forutsetninger!$B$21,Forutsetninger!$B$22))))</f>
        <v/>
      </c>
      <c r="K54" s="48">
        <f>IF($Z$54="",0,IF(10&lt;$Z$54,0,IF(10-$Z$54&lt;3,Forutsetninger!$B$20,IF(10-$Z$54&lt;6,Forutsetninger!$B$21,Forutsetninger!$B$22))))</f>
        <v/>
      </c>
      <c r="L54" s="48">
        <f>IF($Z$54="",0,IF(11&lt;$Z$54,0,IF(11-$Z$54&lt;3,Forutsetninger!$B$20,IF(11-$Z$54&lt;6,Forutsetninger!$B$21,Forutsetninger!$B$22))))</f>
        <v/>
      </c>
      <c r="M54" s="48">
        <f>IF($Z$54="",0,IF(12&lt;$Z$54,0,IF(12-$Z$54&lt;3,Forutsetninger!$B$20,IF(12-$Z$54&lt;6,Forutsetninger!$B$21,Forutsetninger!$B$22))))</f>
        <v/>
      </c>
      <c r="N54" s="48">
        <f>IF($Z$54="",0,IF(13&lt;$Z$54,0,IF(13-$Z$54&lt;3,Forutsetninger!$B$20,IF(13-$Z$54&lt;6,Forutsetninger!$B$21,Forutsetninger!$B$22))))</f>
        <v/>
      </c>
      <c r="O54" s="48">
        <f>IF($Z$54="",0,IF(14&lt;$Z$54,0,IF(14-$Z$54&lt;3,Forutsetninger!$B$20,IF(14-$Z$54&lt;6,Forutsetninger!$B$21,Forutsetninger!$B$22))))</f>
        <v/>
      </c>
      <c r="P54" s="48">
        <f>IF($Z$54="",0,IF(15&lt;$Z$54,0,IF(15-$Z$54&lt;3,Forutsetninger!$B$20,IF(15-$Z$54&lt;6,Forutsetninger!$B$21,Forutsetninger!$B$22))))</f>
        <v/>
      </c>
      <c r="Q54" s="48">
        <f>IF($Z$54="",0,IF(16&lt;$Z$54,0,IF(16-$Z$54&lt;3,Forutsetninger!$B$20,IF(16-$Z$54&lt;6,Forutsetninger!$B$21,Forutsetninger!$B$22))))</f>
        <v/>
      </c>
      <c r="R54" s="48">
        <f>IF($Z$54="",0,IF(17&lt;$Z$54,0,IF(17-$Z$54&lt;3,Forutsetninger!$B$20,IF(17-$Z$54&lt;6,Forutsetninger!$B$21,Forutsetninger!$B$22))))</f>
        <v/>
      </c>
      <c r="S54" s="48">
        <f>IF($Z$54="",0,IF(18&lt;$Z$54,0,IF(18-$Z$54&lt;3,Forutsetninger!$B$20,IF(18-$Z$54&lt;6,Forutsetninger!$B$21,Forutsetninger!$B$22))))</f>
        <v/>
      </c>
      <c r="T54" s="48">
        <f>IF($Z$54="",0,IF(19&lt;$Z$54,0,IF(19-$Z$54&lt;3,Forutsetninger!$B$20,IF(19-$Z$54&lt;6,Forutsetninger!$B$21,Forutsetninger!$B$22))))</f>
        <v/>
      </c>
      <c r="U54" s="48">
        <f>IF($Z$54="",0,IF(20&lt;$Z$54,0,IF(20-$Z$54&lt;3,Forutsetninger!$B$20,IF(20-$Z$54&lt;6,Forutsetninger!$B$21,Forutsetninger!$B$22))))</f>
        <v/>
      </c>
      <c r="V54" s="48">
        <f>IF($Z$54="",0,IF(21&lt;$Z$54,0,IF(21-$Z$54&lt;3,Forutsetninger!$B$20,IF(21-$Z$54&lt;6,Forutsetninger!$B$21,Forutsetninger!$B$22))))</f>
        <v/>
      </c>
      <c r="W54" s="48">
        <f>IF($Z$54="",0,IF(22&lt;$Z$54,0,IF(22-$Z$54&lt;3,Forutsetninger!$B$20,IF(22-$Z$54&lt;6,Forutsetninger!$B$21,Forutsetninger!$B$22))))</f>
        <v/>
      </c>
      <c r="X54" s="48">
        <f>IF($Z$54="",0,IF(23&lt;$Z$54,0,IF(23-$Z$54&lt;3,Forutsetninger!$B$20,IF(23-$Z$54&lt;6,Forutsetninger!$B$21,Forutsetninger!$B$22))))</f>
        <v/>
      </c>
      <c r="Y54" s="48">
        <f>IF($Z$54="",0,IF(24&lt;$Z$54,0,IF(24-$Z$54&lt;3,Forutsetninger!$B$20,IF(24-$Z$54&lt;6,Forutsetninger!$B$21,Forutsetninger!$B$22))))</f>
        <v/>
      </c>
      <c r="Z54" s="41" t="n">
        <v>-6</v>
      </c>
    </row>
    <row r="55">
      <c r="A55" s="6" t="inlineStr">
        <is>
          <t>Megler-stol 2 (rampet ved 2027-start)</t>
        </is>
      </c>
      <c r="B55" s="48">
        <f>IF($Z$55="",0,IF(1&lt;$Z$55,0,IF(1-$Z$55&lt;3,Forutsetninger!$B$20,IF(1-$Z$55&lt;6,Forutsetninger!$B$21,Forutsetninger!$B$22))))</f>
        <v/>
      </c>
      <c r="C55" s="48">
        <f>IF($Z$55="",0,IF(2&lt;$Z$55,0,IF(2-$Z$55&lt;3,Forutsetninger!$B$20,IF(2-$Z$55&lt;6,Forutsetninger!$B$21,Forutsetninger!$B$22))))</f>
        <v/>
      </c>
      <c r="D55" s="48">
        <f>IF($Z$55="",0,IF(3&lt;$Z$55,0,IF(3-$Z$55&lt;3,Forutsetninger!$B$20,IF(3-$Z$55&lt;6,Forutsetninger!$B$21,Forutsetninger!$B$22))))</f>
        <v/>
      </c>
      <c r="E55" s="48">
        <f>IF($Z$55="",0,IF(4&lt;$Z$55,0,IF(4-$Z$55&lt;3,Forutsetninger!$B$20,IF(4-$Z$55&lt;6,Forutsetninger!$B$21,Forutsetninger!$B$22))))</f>
        <v/>
      </c>
      <c r="F55" s="48">
        <f>IF($Z$55="",0,IF(5&lt;$Z$55,0,IF(5-$Z$55&lt;3,Forutsetninger!$B$20,IF(5-$Z$55&lt;6,Forutsetninger!$B$21,Forutsetninger!$B$22))))</f>
        <v/>
      </c>
      <c r="G55" s="48">
        <f>IF($Z$55="",0,IF(6&lt;$Z$55,0,IF(6-$Z$55&lt;3,Forutsetninger!$B$20,IF(6-$Z$55&lt;6,Forutsetninger!$B$21,Forutsetninger!$B$22))))</f>
        <v/>
      </c>
      <c r="H55" s="48">
        <f>IF($Z$55="",0,IF(7&lt;$Z$55,0,IF(7-$Z$55&lt;3,Forutsetninger!$B$20,IF(7-$Z$55&lt;6,Forutsetninger!$B$21,Forutsetninger!$B$22))))</f>
        <v/>
      </c>
      <c r="I55" s="48">
        <f>IF($Z$55="",0,IF(8&lt;$Z$55,0,IF(8-$Z$55&lt;3,Forutsetninger!$B$20,IF(8-$Z$55&lt;6,Forutsetninger!$B$21,Forutsetninger!$B$22))))</f>
        <v/>
      </c>
      <c r="J55" s="48">
        <f>IF($Z$55="",0,IF(9&lt;$Z$55,0,IF(9-$Z$55&lt;3,Forutsetninger!$B$20,IF(9-$Z$55&lt;6,Forutsetninger!$B$21,Forutsetninger!$B$22))))</f>
        <v/>
      </c>
      <c r="K55" s="48">
        <f>IF($Z$55="",0,IF(10&lt;$Z$55,0,IF(10-$Z$55&lt;3,Forutsetninger!$B$20,IF(10-$Z$55&lt;6,Forutsetninger!$B$21,Forutsetninger!$B$22))))</f>
        <v/>
      </c>
      <c r="L55" s="48">
        <f>IF($Z$55="",0,IF(11&lt;$Z$55,0,IF(11-$Z$55&lt;3,Forutsetninger!$B$20,IF(11-$Z$55&lt;6,Forutsetninger!$B$21,Forutsetninger!$B$22))))</f>
        <v/>
      </c>
      <c r="M55" s="48">
        <f>IF($Z$55="",0,IF(12&lt;$Z$55,0,IF(12-$Z$55&lt;3,Forutsetninger!$B$20,IF(12-$Z$55&lt;6,Forutsetninger!$B$21,Forutsetninger!$B$22))))</f>
        <v/>
      </c>
      <c r="N55" s="48">
        <f>IF($Z$55="",0,IF(13&lt;$Z$55,0,IF(13-$Z$55&lt;3,Forutsetninger!$B$20,IF(13-$Z$55&lt;6,Forutsetninger!$B$21,Forutsetninger!$B$22))))</f>
        <v/>
      </c>
      <c r="O55" s="48">
        <f>IF($Z$55="",0,IF(14&lt;$Z$55,0,IF(14-$Z$55&lt;3,Forutsetninger!$B$20,IF(14-$Z$55&lt;6,Forutsetninger!$B$21,Forutsetninger!$B$22))))</f>
        <v/>
      </c>
      <c r="P55" s="48">
        <f>IF($Z$55="",0,IF(15&lt;$Z$55,0,IF(15-$Z$55&lt;3,Forutsetninger!$B$20,IF(15-$Z$55&lt;6,Forutsetninger!$B$21,Forutsetninger!$B$22))))</f>
        <v/>
      </c>
      <c r="Q55" s="48">
        <f>IF($Z$55="",0,IF(16&lt;$Z$55,0,IF(16-$Z$55&lt;3,Forutsetninger!$B$20,IF(16-$Z$55&lt;6,Forutsetninger!$B$21,Forutsetninger!$B$22))))</f>
        <v/>
      </c>
      <c r="R55" s="48">
        <f>IF($Z$55="",0,IF(17&lt;$Z$55,0,IF(17-$Z$55&lt;3,Forutsetninger!$B$20,IF(17-$Z$55&lt;6,Forutsetninger!$B$21,Forutsetninger!$B$22))))</f>
        <v/>
      </c>
      <c r="S55" s="48">
        <f>IF($Z$55="",0,IF(18&lt;$Z$55,0,IF(18-$Z$55&lt;3,Forutsetninger!$B$20,IF(18-$Z$55&lt;6,Forutsetninger!$B$21,Forutsetninger!$B$22))))</f>
        <v/>
      </c>
      <c r="T55" s="48">
        <f>IF($Z$55="",0,IF(19&lt;$Z$55,0,IF(19-$Z$55&lt;3,Forutsetninger!$B$20,IF(19-$Z$55&lt;6,Forutsetninger!$B$21,Forutsetninger!$B$22))))</f>
        <v/>
      </c>
      <c r="U55" s="48">
        <f>IF($Z$55="",0,IF(20&lt;$Z$55,0,IF(20-$Z$55&lt;3,Forutsetninger!$B$20,IF(20-$Z$55&lt;6,Forutsetninger!$B$21,Forutsetninger!$B$22))))</f>
        <v/>
      </c>
      <c r="V55" s="48">
        <f>IF($Z$55="",0,IF(21&lt;$Z$55,0,IF(21-$Z$55&lt;3,Forutsetninger!$B$20,IF(21-$Z$55&lt;6,Forutsetninger!$B$21,Forutsetninger!$B$22))))</f>
        <v/>
      </c>
      <c r="W55" s="48">
        <f>IF($Z$55="",0,IF(22&lt;$Z$55,0,IF(22-$Z$55&lt;3,Forutsetninger!$B$20,IF(22-$Z$55&lt;6,Forutsetninger!$B$21,Forutsetninger!$B$22))))</f>
        <v/>
      </c>
      <c r="X55" s="48">
        <f>IF($Z$55="",0,IF(23&lt;$Z$55,0,IF(23-$Z$55&lt;3,Forutsetninger!$B$20,IF(23-$Z$55&lt;6,Forutsetninger!$B$21,Forutsetninger!$B$22))))</f>
        <v/>
      </c>
      <c r="Y55" s="48">
        <f>IF($Z$55="",0,IF(24&lt;$Z$55,0,IF(24-$Z$55&lt;3,Forutsetninger!$B$20,IF(24-$Z$55&lt;6,Forutsetninger!$B$21,Forutsetninger!$B$22))))</f>
        <v/>
      </c>
      <c r="Z55" s="41" t="n">
        <v>-6</v>
      </c>
    </row>
    <row r="56">
      <c r="A56" s="6" t="inlineStr">
        <is>
          <t>Megler-stol 3 (nyansatt 2027 Q1)</t>
        </is>
      </c>
      <c r="B56" s="48">
        <f>IF($Z$56="",0,IF(1&lt;$Z$56,0,IF(1-$Z$56&lt;3,Forutsetninger!$B$20,IF(1-$Z$56&lt;6,Forutsetninger!$B$21,Forutsetninger!$B$22))))</f>
        <v/>
      </c>
      <c r="C56" s="48">
        <f>IF($Z$56="",0,IF(2&lt;$Z$56,0,IF(2-$Z$56&lt;3,Forutsetninger!$B$20,IF(2-$Z$56&lt;6,Forutsetninger!$B$21,Forutsetninger!$B$22))))</f>
        <v/>
      </c>
      <c r="D56" s="48">
        <f>IF($Z$56="",0,IF(3&lt;$Z$56,0,IF(3-$Z$56&lt;3,Forutsetninger!$B$20,IF(3-$Z$56&lt;6,Forutsetninger!$B$21,Forutsetninger!$B$22))))</f>
        <v/>
      </c>
      <c r="E56" s="48">
        <f>IF($Z$56="",0,IF(4&lt;$Z$56,0,IF(4-$Z$56&lt;3,Forutsetninger!$B$20,IF(4-$Z$56&lt;6,Forutsetninger!$B$21,Forutsetninger!$B$22))))</f>
        <v/>
      </c>
      <c r="F56" s="48">
        <f>IF($Z$56="",0,IF(5&lt;$Z$56,0,IF(5-$Z$56&lt;3,Forutsetninger!$B$20,IF(5-$Z$56&lt;6,Forutsetninger!$B$21,Forutsetninger!$B$22))))</f>
        <v/>
      </c>
      <c r="G56" s="48">
        <f>IF($Z$56="",0,IF(6&lt;$Z$56,0,IF(6-$Z$56&lt;3,Forutsetninger!$B$20,IF(6-$Z$56&lt;6,Forutsetninger!$B$21,Forutsetninger!$B$22))))</f>
        <v/>
      </c>
      <c r="H56" s="48">
        <f>IF($Z$56="",0,IF(7&lt;$Z$56,0,IF(7-$Z$56&lt;3,Forutsetninger!$B$20,IF(7-$Z$56&lt;6,Forutsetninger!$B$21,Forutsetninger!$B$22))))</f>
        <v/>
      </c>
      <c r="I56" s="48">
        <f>IF($Z$56="",0,IF(8&lt;$Z$56,0,IF(8-$Z$56&lt;3,Forutsetninger!$B$20,IF(8-$Z$56&lt;6,Forutsetninger!$B$21,Forutsetninger!$B$22))))</f>
        <v/>
      </c>
      <c r="J56" s="48">
        <f>IF($Z$56="",0,IF(9&lt;$Z$56,0,IF(9-$Z$56&lt;3,Forutsetninger!$B$20,IF(9-$Z$56&lt;6,Forutsetninger!$B$21,Forutsetninger!$B$22))))</f>
        <v/>
      </c>
      <c r="K56" s="48">
        <f>IF($Z$56="",0,IF(10&lt;$Z$56,0,IF(10-$Z$56&lt;3,Forutsetninger!$B$20,IF(10-$Z$56&lt;6,Forutsetninger!$B$21,Forutsetninger!$B$22))))</f>
        <v/>
      </c>
      <c r="L56" s="48">
        <f>IF($Z$56="",0,IF(11&lt;$Z$56,0,IF(11-$Z$56&lt;3,Forutsetninger!$B$20,IF(11-$Z$56&lt;6,Forutsetninger!$B$21,Forutsetninger!$B$22))))</f>
        <v/>
      </c>
      <c r="M56" s="48">
        <f>IF($Z$56="",0,IF(12&lt;$Z$56,0,IF(12-$Z$56&lt;3,Forutsetninger!$B$20,IF(12-$Z$56&lt;6,Forutsetninger!$B$21,Forutsetninger!$B$22))))</f>
        <v/>
      </c>
      <c r="N56" s="48">
        <f>IF($Z$56="",0,IF(13&lt;$Z$56,0,IF(13-$Z$56&lt;3,Forutsetninger!$B$20,IF(13-$Z$56&lt;6,Forutsetninger!$B$21,Forutsetninger!$B$22))))</f>
        <v/>
      </c>
      <c r="O56" s="48">
        <f>IF($Z$56="",0,IF(14&lt;$Z$56,0,IF(14-$Z$56&lt;3,Forutsetninger!$B$20,IF(14-$Z$56&lt;6,Forutsetninger!$B$21,Forutsetninger!$B$22))))</f>
        <v/>
      </c>
      <c r="P56" s="48">
        <f>IF($Z$56="",0,IF(15&lt;$Z$56,0,IF(15-$Z$56&lt;3,Forutsetninger!$B$20,IF(15-$Z$56&lt;6,Forutsetninger!$B$21,Forutsetninger!$B$22))))</f>
        <v/>
      </c>
      <c r="Q56" s="48">
        <f>IF($Z$56="",0,IF(16&lt;$Z$56,0,IF(16-$Z$56&lt;3,Forutsetninger!$B$20,IF(16-$Z$56&lt;6,Forutsetninger!$B$21,Forutsetninger!$B$22))))</f>
        <v/>
      </c>
      <c r="R56" s="48">
        <f>IF($Z$56="",0,IF(17&lt;$Z$56,0,IF(17-$Z$56&lt;3,Forutsetninger!$B$20,IF(17-$Z$56&lt;6,Forutsetninger!$B$21,Forutsetninger!$B$22))))</f>
        <v/>
      </c>
      <c r="S56" s="48">
        <f>IF($Z$56="",0,IF(18&lt;$Z$56,0,IF(18-$Z$56&lt;3,Forutsetninger!$B$20,IF(18-$Z$56&lt;6,Forutsetninger!$B$21,Forutsetninger!$B$22))))</f>
        <v/>
      </c>
      <c r="T56" s="48">
        <f>IF($Z$56="",0,IF(19&lt;$Z$56,0,IF(19-$Z$56&lt;3,Forutsetninger!$B$20,IF(19-$Z$56&lt;6,Forutsetninger!$B$21,Forutsetninger!$B$22))))</f>
        <v/>
      </c>
      <c r="U56" s="48">
        <f>IF($Z$56="",0,IF(20&lt;$Z$56,0,IF(20-$Z$56&lt;3,Forutsetninger!$B$20,IF(20-$Z$56&lt;6,Forutsetninger!$B$21,Forutsetninger!$B$22))))</f>
        <v/>
      </c>
      <c r="V56" s="48">
        <f>IF($Z$56="",0,IF(21&lt;$Z$56,0,IF(21-$Z$56&lt;3,Forutsetninger!$B$20,IF(21-$Z$56&lt;6,Forutsetninger!$B$21,Forutsetninger!$B$22))))</f>
        <v/>
      </c>
      <c r="W56" s="48">
        <f>IF($Z$56="",0,IF(22&lt;$Z$56,0,IF(22-$Z$56&lt;3,Forutsetninger!$B$20,IF(22-$Z$56&lt;6,Forutsetninger!$B$21,Forutsetninger!$B$22))))</f>
        <v/>
      </c>
      <c r="X56" s="48">
        <f>IF($Z$56="",0,IF(23&lt;$Z$56,0,IF(23-$Z$56&lt;3,Forutsetninger!$B$20,IF(23-$Z$56&lt;6,Forutsetninger!$B$21,Forutsetninger!$B$22))))</f>
        <v/>
      </c>
      <c r="Y56" s="48">
        <f>IF($Z$56="",0,IF(24&lt;$Z$56,0,IF(24-$Z$56&lt;3,Forutsetninger!$B$20,IF(24-$Z$56&lt;6,Forutsetninger!$B$21,Forutsetninger!$B$22))))</f>
        <v/>
      </c>
      <c r="Z56" s="41" t="n">
        <v>1</v>
      </c>
    </row>
    <row r="57">
      <c r="A57" s="6" t="inlineStr">
        <is>
          <t>Megler-stol 4 (nyansatt 2027 Q2)</t>
        </is>
      </c>
      <c r="B57" s="48">
        <f>IF($Z$57="",0,IF(1&lt;$Z$57,0,IF(1-$Z$57&lt;3,Forutsetninger!$B$20,IF(1-$Z$57&lt;6,Forutsetninger!$B$21,Forutsetninger!$B$22))))</f>
        <v/>
      </c>
      <c r="C57" s="48">
        <f>IF($Z$57="",0,IF(2&lt;$Z$57,0,IF(2-$Z$57&lt;3,Forutsetninger!$B$20,IF(2-$Z$57&lt;6,Forutsetninger!$B$21,Forutsetninger!$B$22))))</f>
        <v/>
      </c>
      <c r="D57" s="48">
        <f>IF($Z$57="",0,IF(3&lt;$Z$57,0,IF(3-$Z$57&lt;3,Forutsetninger!$B$20,IF(3-$Z$57&lt;6,Forutsetninger!$B$21,Forutsetninger!$B$22))))</f>
        <v/>
      </c>
      <c r="E57" s="48">
        <f>IF($Z$57="",0,IF(4&lt;$Z$57,0,IF(4-$Z$57&lt;3,Forutsetninger!$B$20,IF(4-$Z$57&lt;6,Forutsetninger!$B$21,Forutsetninger!$B$22))))</f>
        <v/>
      </c>
      <c r="F57" s="48">
        <f>IF($Z$57="",0,IF(5&lt;$Z$57,0,IF(5-$Z$57&lt;3,Forutsetninger!$B$20,IF(5-$Z$57&lt;6,Forutsetninger!$B$21,Forutsetninger!$B$22))))</f>
        <v/>
      </c>
      <c r="G57" s="48">
        <f>IF($Z$57="",0,IF(6&lt;$Z$57,0,IF(6-$Z$57&lt;3,Forutsetninger!$B$20,IF(6-$Z$57&lt;6,Forutsetninger!$B$21,Forutsetninger!$B$22))))</f>
        <v/>
      </c>
      <c r="H57" s="48">
        <f>IF($Z$57="",0,IF(7&lt;$Z$57,0,IF(7-$Z$57&lt;3,Forutsetninger!$B$20,IF(7-$Z$57&lt;6,Forutsetninger!$B$21,Forutsetninger!$B$22))))</f>
        <v/>
      </c>
      <c r="I57" s="48">
        <f>IF($Z$57="",0,IF(8&lt;$Z$57,0,IF(8-$Z$57&lt;3,Forutsetninger!$B$20,IF(8-$Z$57&lt;6,Forutsetninger!$B$21,Forutsetninger!$B$22))))</f>
        <v/>
      </c>
      <c r="J57" s="48">
        <f>IF($Z$57="",0,IF(9&lt;$Z$57,0,IF(9-$Z$57&lt;3,Forutsetninger!$B$20,IF(9-$Z$57&lt;6,Forutsetninger!$B$21,Forutsetninger!$B$22))))</f>
        <v/>
      </c>
      <c r="K57" s="48">
        <f>IF($Z$57="",0,IF(10&lt;$Z$57,0,IF(10-$Z$57&lt;3,Forutsetninger!$B$20,IF(10-$Z$57&lt;6,Forutsetninger!$B$21,Forutsetninger!$B$22))))</f>
        <v/>
      </c>
      <c r="L57" s="48">
        <f>IF($Z$57="",0,IF(11&lt;$Z$57,0,IF(11-$Z$57&lt;3,Forutsetninger!$B$20,IF(11-$Z$57&lt;6,Forutsetninger!$B$21,Forutsetninger!$B$22))))</f>
        <v/>
      </c>
      <c r="M57" s="48">
        <f>IF($Z$57="",0,IF(12&lt;$Z$57,0,IF(12-$Z$57&lt;3,Forutsetninger!$B$20,IF(12-$Z$57&lt;6,Forutsetninger!$B$21,Forutsetninger!$B$22))))</f>
        <v/>
      </c>
      <c r="N57" s="48">
        <f>IF($Z$57="",0,IF(13&lt;$Z$57,0,IF(13-$Z$57&lt;3,Forutsetninger!$B$20,IF(13-$Z$57&lt;6,Forutsetninger!$B$21,Forutsetninger!$B$22))))</f>
        <v/>
      </c>
      <c r="O57" s="48">
        <f>IF($Z$57="",0,IF(14&lt;$Z$57,0,IF(14-$Z$57&lt;3,Forutsetninger!$B$20,IF(14-$Z$57&lt;6,Forutsetninger!$B$21,Forutsetninger!$B$22))))</f>
        <v/>
      </c>
      <c r="P57" s="48">
        <f>IF($Z$57="",0,IF(15&lt;$Z$57,0,IF(15-$Z$57&lt;3,Forutsetninger!$B$20,IF(15-$Z$57&lt;6,Forutsetninger!$B$21,Forutsetninger!$B$22))))</f>
        <v/>
      </c>
      <c r="Q57" s="48">
        <f>IF($Z$57="",0,IF(16&lt;$Z$57,0,IF(16-$Z$57&lt;3,Forutsetninger!$B$20,IF(16-$Z$57&lt;6,Forutsetninger!$B$21,Forutsetninger!$B$22))))</f>
        <v/>
      </c>
      <c r="R57" s="48">
        <f>IF($Z$57="",0,IF(17&lt;$Z$57,0,IF(17-$Z$57&lt;3,Forutsetninger!$B$20,IF(17-$Z$57&lt;6,Forutsetninger!$B$21,Forutsetninger!$B$22))))</f>
        <v/>
      </c>
      <c r="S57" s="48">
        <f>IF($Z$57="",0,IF(18&lt;$Z$57,0,IF(18-$Z$57&lt;3,Forutsetninger!$B$20,IF(18-$Z$57&lt;6,Forutsetninger!$B$21,Forutsetninger!$B$22))))</f>
        <v/>
      </c>
      <c r="T57" s="48">
        <f>IF($Z$57="",0,IF(19&lt;$Z$57,0,IF(19-$Z$57&lt;3,Forutsetninger!$B$20,IF(19-$Z$57&lt;6,Forutsetninger!$B$21,Forutsetninger!$B$22))))</f>
        <v/>
      </c>
      <c r="U57" s="48">
        <f>IF($Z$57="",0,IF(20&lt;$Z$57,0,IF(20-$Z$57&lt;3,Forutsetninger!$B$20,IF(20-$Z$57&lt;6,Forutsetninger!$B$21,Forutsetninger!$B$22))))</f>
        <v/>
      </c>
      <c r="V57" s="48">
        <f>IF($Z$57="",0,IF(21&lt;$Z$57,0,IF(21-$Z$57&lt;3,Forutsetninger!$B$20,IF(21-$Z$57&lt;6,Forutsetninger!$B$21,Forutsetninger!$B$22))))</f>
        <v/>
      </c>
      <c r="W57" s="48">
        <f>IF($Z$57="",0,IF(22&lt;$Z$57,0,IF(22-$Z$57&lt;3,Forutsetninger!$B$20,IF(22-$Z$57&lt;6,Forutsetninger!$B$21,Forutsetninger!$B$22))))</f>
        <v/>
      </c>
      <c r="X57" s="48">
        <f>IF($Z$57="",0,IF(23&lt;$Z$57,0,IF(23-$Z$57&lt;3,Forutsetninger!$B$20,IF(23-$Z$57&lt;6,Forutsetninger!$B$21,Forutsetninger!$B$22))))</f>
        <v/>
      </c>
      <c r="Y57" s="48">
        <f>IF($Z$57="",0,IF(24&lt;$Z$57,0,IF(24-$Z$57&lt;3,Forutsetninger!$B$20,IF(24-$Z$57&lt;6,Forutsetninger!$B$21,Forutsetninger!$B$22))))</f>
        <v/>
      </c>
      <c r="Z57" s="41" t="n">
        <v>4</v>
      </c>
    </row>
    <row r="58">
      <c r="A58" s="6" t="inlineStr">
        <is>
          <t>Megler-stol 5 (nyansatt 2027 Q3)</t>
        </is>
      </c>
      <c r="B58" s="48">
        <f>IF($Z$58="",0,IF(1&lt;$Z$58,0,IF(1-$Z$58&lt;3,Forutsetninger!$B$20,IF(1-$Z$58&lt;6,Forutsetninger!$B$21,Forutsetninger!$B$22))))</f>
        <v/>
      </c>
      <c r="C58" s="48">
        <f>IF($Z$58="",0,IF(2&lt;$Z$58,0,IF(2-$Z$58&lt;3,Forutsetninger!$B$20,IF(2-$Z$58&lt;6,Forutsetninger!$B$21,Forutsetninger!$B$22))))</f>
        <v/>
      </c>
      <c r="D58" s="48">
        <f>IF($Z$58="",0,IF(3&lt;$Z$58,0,IF(3-$Z$58&lt;3,Forutsetninger!$B$20,IF(3-$Z$58&lt;6,Forutsetninger!$B$21,Forutsetninger!$B$22))))</f>
        <v/>
      </c>
      <c r="E58" s="48">
        <f>IF($Z$58="",0,IF(4&lt;$Z$58,0,IF(4-$Z$58&lt;3,Forutsetninger!$B$20,IF(4-$Z$58&lt;6,Forutsetninger!$B$21,Forutsetninger!$B$22))))</f>
        <v/>
      </c>
      <c r="F58" s="48">
        <f>IF($Z$58="",0,IF(5&lt;$Z$58,0,IF(5-$Z$58&lt;3,Forutsetninger!$B$20,IF(5-$Z$58&lt;6,Forutsetninger!$B$21,Forutsetninger!$B$22))))</f>
        <v/>
      </c>
      <c r="G58" s="48">
        <f>IF($Z$58="",0,IF(6&lt;$Z$58,0,IF(6-$Z$58&lt;3,Forutsetninger!$B$20,IF(6-$Z$58&lt;6,Forutsetninger!$B$21,Forutsetninger!$B$22))))</f>
        <v/>
      </c>
      <c r="H58" s="48">
        <f>IF($Z$58="",0,IF(7&lt;$Z$58,0,IF(7-$Z$58&lt;3,Forutsetninger!$B$20,IF(7-$Z$58&lt;6,Forutsetninger!$B$21,Forutsetninger!$B$22))))</f>
        <v/>
      </c>
      <c r="I58" s="48">
        <f>IF($Z$58="",0,IF(8&lt;$Z$58,0,IF(8-$Z$58&lt;3,Forutsetninger!$B$20,IF(8-$Z$58&lt;6,Forutsetninger!$B$21,Forutsetninger!$B$22))))</f>
        <v/>
      </c>
      <c r="J58" s="48">
        <f>IF($Z$58="",0,IF(9&lt;$Z$58,0,IF(9-$Z$58&lt;3,Forutsetninger!$B$20,IF(9-$Z$58&lt;6,Forutsetninger!$B$21,Forutsetninger!$B$22))))</f>
        <v/>
      </c>
      <c r="K58" s="48">
        <f>IF($Z$58="",0,IF(10&lt;$Z$58,0,IF(10-$Z$58&lt;3,Forutsetninger!$B$20,IF(10-$Z$58&lt;6,Forutsetninger!$B$21,Forutsetninger!$B$22))))</f>
        <v/>
      </c>
      <c r="L58" s="48">
        <f>IF($Z$58="",0,IF(11&lt;$Z$58,0,IF(11-$Z$58&lt;3,Forutsetninger!$B$20,IF(11-$Z$58&lt;6,Forutsetninger!$B$21,Forutsetninger!$B$22))))</f>
        <v/>
      </c>
      <c r="M58" s="48">
        <f>IF($Z$58="",0,IF(12&lt;$Z$58,0,IF(12-$Z$58&lt;3,Forutsetninger!$B$20,IF(12-$Z$58&lt;6,Forutsetninger!$B$21,Forutsetninger!$B$22))))</f>
        <v/>
      </c>
      <c r="N58" s="48">
        <f>IF($Z$58="",0,IF(13&lt;$Z$58,0,IF(13-$Z$58&lt;3,Forutsetninger!$B$20,IF(13-$Z$58&lt;6,Forutsetninger!$B$21,Forutsetninger!$B$22))))</f>
        <v/>
      </c>
      <c r="O58" s="48">
        <f>IF($Z$58="",0,IF(14&lt;$Z$58,0,IF(14-$Z$58&lt;3,Forutsetninger!$B$20,IF(14-$Z$58&lt;6,Forutsetninger!$B$21,Forutsetninger!$B$22))))</f>
        <v/>
      </c>
      <c r="P58" s="48">
        <f>IF($Z$58="",0,IF(15&lt;$Z$58,0,IF(15-$Z$58&lt;3,Forutsetninger!$B$20,IF(15-$Z$58&lt;6,Forutsetninger!$B$21,Forutsetninger!$B$22))))</f>
        <v/>
      </c>
      <c r="Q58" s="48">
        <f>IF($Z$58="",0,IF(16&lt;$Z$58,0,IF(16-$Z$58&lt;3,Forutsetninger!$B$20,IF(16-$Z$58&lt;6,Forutsetninger!$B$21,Forutsetninger!$B$22))))</f>
        <v/>
      </c>
      <c r="R58" s="48">
        <f>IF($Z$58="",0,IF(17&lt;$Z$58,0,IF(17-$Z$58&lt;3,Forutsetninger!$B$20,IF(17-$Z$58&lt;6,Forutsetninger!$B$21,Forutsetninger!$B$22))))</f>
        <v/>
      </c>
      <c r="S58" s="48">
        <f>IF($Z$58="",0,IF(18&lt;$Z$58,0,IF(18-$Z$58&lt;3,Forutsetninger!$B$20,IF(18-$Z$58&lt;6,Forutsetninger!$B$21,Forutsetninger!$B$22))))</f>
        <v/>
      </c>
      <c r="T58" s="48">
        <f>IF($Z$58="",0,IF(19&lt;$Z$58,0,IF(19-$Z$58&lt;3,Forutsetninger!$B$20,IF(19-$Z$58&lt;6,Forutsetninger!$B$21,Forutsetninger!$B$22))))</f>
        <v/>
      </c>
      <c r="U58" s="48">
        <f>IF($Z$58="",0,IF(20&lt;$Z$58,0,IF(20-$Z$58&lt;3,Forutsetninger!$B$20,IF(20-$Z$58&lt;6,Forutsetninger!$B$21,Forutsetninger!$B$22))))</f>
        <v/>
      </c>
      <c r="V58" s="48">
        <f>IF($Z$58="",0,IF(21&lt;$Z$58,0,IF(21-$Z$58&lt;3,Forutsetninger!$B$20,IF(21-$Z$58&lt;6,Forutsetninger!$B$21,Forutsetninger!$B$22))))</f>
        <v/>
      </c>
      <c r="W58" s="48">
        <f>IF($Z$58="",0,IF(22&lt;$Z$58,0,IF(22-$Z$58&lt;3,Forutsetninger!$B$20,IF(22-$Z$58&lt;6,Forutsetninger!$B$21,Forutsetninger!$B$22))))</f>
        <v/>
      </c>
      <c r="X58" s="48">
        <f>IF($Z$58="",0,IF(23&lt;$Z$58,0,IF(23-$Z$58&lt;3,Forutsetninger!$B$20,IF(23-$Z$58&lt;6,Forutsetninger!$B$21,Forutsetninger!$B$22))))</f>
        <v/>
      </c>
      <c r="Y58" s="48">
        <f>IF($Z$58="",0,IF(24&lt;$Z$58,0,IF(24-$Z$58&lt;3,Forutsetninger!$B$20,IF(24-$Z$58&lt;6,Forutsetninger!$B$21,Forutsetninger!$B$22))))</f>
        <v/>
      </c>
      <c r="Z58" s="41" t="n">
        <v>7</v>
      </c>
    </row>
    <row r="59">
      <c r="A59" s="6" t="inlineStr">
        <is>
          <t>Megler-stol 6 (nyansatt 2028)</t>
        </is>
      </c>
      <c r="B59" s="48">
        <f>IF($Z$59="",0,IF(1&lt;$Z$59,0,IF(1-$Z$59&lt;3,Forutsetninger!$B$20,IF(1-$Z$59&lt;6,Forutsetninger!$B$21,Forutsetninger!$B$22))))</f>
        <v/>
      </c>
      <c r="C59" s="48">
        <f>IF($Z$59="",0,IF(2&lt;$Z$59,0,IF(2-$Z$59&lt;3,Forutsetninger!$B$20,IF(2-$Z$59&lt;6,Forutsetninger!$B$21,Forutsetninger!$B$22))))</f>
        <v/>
      </c>
      <c r="D59" s="48">
        <f>IF($Z$59="",0,IF(3&lt;$Z$59,0,IF(3-$Z$59&lt;3,Forutsetninger!$B$20,IF(3-$Z$59&lt;6,Forutsetninger!$B$21,Forutsetninger!$B$22))))</f>
        <v/>
      </c>
      <c r="E59" s="48">
        <f>IF($Z$59="",0,IF(4&lt;$Z$59,0,IF(4-$Z$59&lt;3,Forutsetninger!$B$20,IF(4-$Z$59&lt;6,Forutsetninger!$B$21,Forutsetninger!$B$22))))</f>
        <v/>
      </c>
      <c r="F59" s="48">
        <f>IF($Z$59="",0,IF(5&lt;$Z$59,0,IF(5-$Z$59&lt;3,Forutsetninger!$B$20,IF(5-$Z$59&lt;6,Forutsetninger!$B$21,Forutsetninger!$B$22))))</f>
        <v/>
      </c>
      <c r="G59" s="48">
        <f>IF($Z$59="",0,IF(6&lt;$Z$59,0,IF(6-$Z$59&lt;3,Forutsetninger!$B$20,IF(6-$Z$59&lt;6,Forutsetninger!$B$21,Forutsetninger!$B$22))))</f>
        <v/>
      </c>
      <c r="H59" s="48">
        <f>IF($Z$59="",0,IF(7&lt;$Z$59,0,IF(7-$Z$59&lt;3,Forutsetninger!$B$20,IF(7-$Z$59&lt;6,Forutsetninger!$B$21,Forutsetninger!$B$22))))</f>
        <v/>
      </c>
      <c r="I59" s="48">
        <f>IF($Z$59="",0,IF(8&lt;$Z$59,0,IF(8-$Z$59&lt;3,Forutsetninger!$B$20,IF(8-$Z$59&lt;6,Forutsetninger!$B$21,Forutsetninger!$B$22))))</f>
        <v/>
      </c>
      <c r="J59" s="48">
        <f>IF($Z$59="",0,IF(9&lt;$Z$59,0,IF(9-$Z$59&lt;3,Forutsetninger!$B$20,IF(9-$Z$59&lt;6,Forutsetninger!$B$21,Forutsetninger!$B$22))))</f>
        <v/>
      </c>
      <c r="K59" s="48">
        <f>IF($Z$59="",0,IF(10&lt;$Z$59,0,IF(10-$Z$59&lt;3,Forutsetninger!$B$20,IF(10-$Z$59&lt;6,Forutsetninger!$B$21,Forutsetninger!$B$22))))</f>
        <v/>
      </c>
      <c r="L59" s="48">
        <f>IF($Z$59="",0,IF(11&lt;$Z$59,0,IF(11-$Z$59&lt;3,Forutsetninger!$B$20,IF(11-$Z$59&lt;6,Forutsetninger!$B$21,Forutsetninger!$B$22))))</f>
        <v/>
      </c>
      <c r="M59" s="48">
        <f>IF($Z$59="",0,IF(12&lt;$Z$59,0,IF(12-$Z$59&lt;3,Forutsetninger!$B$20,IF(12-$Z$59&lt;6,Forutsetninger!$B$21,Forutsetninger!$B$22))))</f>
        <v/>
      </c>
      <c r="N59" s="48">
        <f>IF($Z$59="",0,IF(13&lt;$Z$59,0,IF(13-$Z$59&lt;3,Forutsetninger!$B$20,IF(13-$Z$59&lt;6,Forutsetninger!$B$21,Forutsetninger!$B$22))))</f>
        <v/>
      </c>
      <c r="O59" s="48">
        <f>IF($Z$59="",0,IF(14&lt;$Z$59,0,IF(14-$Z$59&lt;3,Forutsetninger!$B$20,IF(14-$Z$59&lt;6,Forutsetninger!$B$21,Forutsetninger!$B$22))))</f>
        <v/>
      </c>
      <c r="P59" s="48">
        <f>IF($Z$59="",0,IF(15&lt;$Z$59,0,IF(15-$Z$59&lt;3,Forutsetninger!$B$20,IF(15-$Z$59&lt;6,Forutsetninger!$B$21,Forutsetninger!$B$22))))</f>
        <v/>
      </c>
      <c r="Q59" s="48">
        <f>IF($Z$59="",0,IF(16&lt;$Z$59,0,IF(16-$Z$59&lt;3,Forutsetninger!$B$20,IF(16-$Z$59&lt;6,Forutsetninger!$B$21,Forutsetninger!$B$22))))</f>
        <v/>
      </c>
      <c r="R59" s="48">
        <f>IF($Z$59="",0,IF(17&lt;$Z$59,0,IF(17-$Z$59&lt;3,Forutsetninger!$B$20,IF(17-$Z$59&lt;6,Forutsetninger!$B$21,Forutsetninger!$B$22))))</f>
        <v/>
      </c>
      <c r="S59" s="48">
        <f>IF($Z$59="",0,IF(18&lt;$Z$59,0,IF(18-$Z$59&lt;3,Forutsetninger!$B$20,IF(18-$Z$59&lt;6,Forutsetninger!$B$21,Forutsetninger!$B$22))))</f>
        <v/>
      </c>
      <c r="T59" s="48">
        <f>IF($Z$59="",0,IF(19&lt;$Z$59,0,IF(19-$Z$59&lt;3,Forutsetninger!$B$20,IF(19-$Z$59&lt;6,Forutsetninger!$B$21,Forutsetninger!$B$22))))</f>
        <v/>
      </c>
      <c r="U59" s="48">
        <f>IF($Z$59="",0,IF(20&lt;$Z$59,0,IF(20-$Z$59&lt;3,Forutsetninger!$B$20,IF(20-$Z$59&lt;6,Forutsetninger!$B$21,Forutsetninger!$B$22))))</f>
        <v/>
      </c>
      <c r="V59" s="48">
        <f>IF($Z$59="",0,IF(21&lt;$Z$59,0,IF(21-$Z$59&lt;3,Forutsetninger!$B$20,IF(21-$Z$59&lt;6,Forutsetninger!$B$21,Forutsetninger!$B$22))))</f>
        <v/>
      </c>
      <c r="W59" s="48">
        <f>IF($Z$59="",0,IF(22&lt;$Z$59,0,IF(22-$Z$59&lt;3,Forutsetninger!$B$20,IF(22-$Z$59&lt;6,Forutsetninger!$B$21,Forutsetninger!$B$22))))</f>
        <v/>
      </c>
      <c r="X59" s="48">
        <f>IF($Z$59="",0,IF(23&lt;$Z$59,0,IF(23-$Z$59&lt;3,Forutsetninger!$B$20,IF(23-$Z$59&lt;6,Forutsetninger!$B$21,Forutsetninger!$B$22))))</f>
        <v/>
      </c>
      <c r="Y59" s="48">
        <f>IF($Z$59="",0,IF(24&lt;$Z$59,0,IF(24-$Z$59&lt;3,Forutsetninger!$B$20,IF(24-$Z$59&lt;6,Forutsetninger!$B$21,Forutsetninger!$B$22))))</f>
        <v/>
      </c>
      <c r="Z59" s="41" t="n">
        <v>13</v>
      </c>
    </row>
    <row r="60">
      <c r="A60" s="6" t="inlineStr">
        <is>
          <t>Megler-stol 7 (ledig)</t>
        </is>
      </c>
      <c r="B60" s="48">
        <f>IF($Z$60="",0,IF(1&lt;$Z$60,0,IF(1-$Z$60&lt;3,Forutsetninger!$B$20,IF(1-$Z$60&lt;6,Forutsetninger!$B$21,Forutsetninger!$B$22))))</f>
        <v/>
      </c>
      <c r="C60" s="48">
        <f>IF($Z$60="",0,IF(2&lt;$Z$60,0,IF(2-$Z$60&lt;3,Forutsetninger!$B$20,IF(2-$Z$60&lt;6,Forutsetninger!$B$21,Forutsetninger!$B$22))))</f>
        <v/>
      </c>
      <c r="D60" s="48">
        <f>IF($Z$60="",0,IF(3&lt;$Z$60,0,IF(3-$Z$60&lt;3,Forutsetninger!$B$20,IF(3-$Z$60&lt;6,Forutsetninger!$B$21,Forutsetninger!$B$22))))</f>
        <v/>
      </c>
      <c r="E60" s="48">
        <f>IF($Z$60="",0,IF(4&lt;$Z$60,0,IF(4-$Z$60&lt;3,Forutsetninger!$B$20,IF(4-$Z$60&lt;6,Forutsetninger!$B$21,Forutsetninger!$B$22))))</f>
        <v/>
      </c>
      <c r="F60" s="48">
        <f>IF($Z$60="",0,IF(5&lt;$Z$60,0,IF(5-$Z$60&lt;3,Forutsetninger!$B$20,IF(5-$Z$60&lt;6,Forutsetninger!$B$21,Forutsetninger!$B$22))))</f>
        <v/>
      </c>
      <c r="G60" s="48">
        <f>IF($Z$60="",0,IF(6&lt;$Z$60,0,IF(6-$Z$60&lt;3,Forutsetninger!$B$20,IF(6-$Z$60&lt;6,Forutsetninger!$B$21,Forutsetninger!$B$22))))</f>
        <v/>
      </c>
      <c r="H60" s="48">
        <f>IF($Z$60="",0,IF(7&lt;$Z$60,0,IF(7-$Z$60&lt;3,Forutsetninger!$B$20,IF(7-$Z$60&lt;6,Forutsetninger!$B$21,Forutsetninger!$B$22))))</f>
        <v/>
      </c>
      <c r="I60" s="48">
        <f>IF($Z$60="",0,IF(8&lt;$Z$60,0,IF(8-$Z$60&lt;3,Forutsetninger!$B$20,IF(8-$Z$60&lt;6,Forutsetninger!$B$21,Forutsetninger!$B$22))))</f>
        <v/>
      </c>
      <c r="J60" s="48">
        <f>IF($Z$60="",0,IF(9&lt;$Z$60,0,IF(9-$Z$60&lt;3,Forutsetninger!$B$20,IF(9-$Z$60&lt;6,Forutsetninger!$B$21,Forutsetninger!$B$22))))</f>
        <v/>
      </c>
      <c r="K60" s="48">
        <f>IF($Z$60="",0,IF(10&lt;$Z$60,0,IF(10-$Z$60&lt;3,Forutsetninger!$B$20,IF(10-$Z$60&lt;6,Forutsetninger!$B$21,Forutsetninger!$B$22))))</f>
        <v/>
      </c>
      <c r="L60" s="48">
        <f>IF($Z$60="",0,IF(11&lt;$Z$60,0,IF(11-$Z$60&lt;3,Forutsetninger!$B$20,IF(11-$Z$60&lt;6,Forutsetninger!$B$21,Forutsetninger!$B$22))))</f>
        <v/>
      </c>
      <c r="M60" s="48">
        <f>IF($Z$60="",0,IF(12&lt;$Z$60,0,IF(12-$Z$60&lt;3,Forutsetninger!$B$20,IF(12-$Z$60&lt;6,Forutsetninger!$B$21,Forutsetninger!$B$22))))</f>
        <v/>
      </c>
      <c r="N60" s="48">
        <f>IF($Z$60="",0,IF(13&lt;$Z$60,0,IF(13-$Z$60&lt;3,Forutsetninger!$B$20,IF(13-$Z$60&lt;6,Forutsetninger!$B$21,Forutsetninger!$B$22))))</f>
        <v/>
      </c>
      <c r="O60" s="48">
        <f>IF($Z$60="",0,IF(14&lt;$Z$60,0,IF(14-$Z$60&lt;3,Forutsetninger!$B$20,IF(14-$Z$60&lt;6,Forutsetninger!$B$21,Forutsetninger!$B$22))))</f>
        <v/>
      </c>
      <c r="P60" s="48">
        <f>IF($Z$60="",0,IF(15&lt;$Z$60,0,IF(15-$Z$60&lt;3,Forutsetninger!$B$20,IF(15-$Z$60&lt;6,Forutsetninger!$B$21,Forutsetninger!$B$22))))</f>
        <v/>
      </c>
      <c r="Q60" s="48">
        <f>IF($Z$60="",0,IF(16&lt;$Z$60,0,IF(16-$Z$60&lt;3,Forutsetninger!$B$20,IF(16-$Z$60&lt;6,Forutsetninger!$B$21,Forutsetninger!$B$22))))</f>
        <v/>
      </c>
      <c r="R60" s="48">
        <f>IF($Z$60="",0,IF(17&lt;$Z$60,0,IF(17-$Z$60&lt;3,Forutsetninger!$B$20,IF(17-$Z$60&lt;6,Forutsetninger!$B$21,Forutsetninger!$B$22))))</f>
        <v/>
      </c>
      <c r="S60" s="48">
        <f>IF($Z$60="",0,IF(18&lt;$Z$60,0,IF(18-$Z$60&lt;3,Forutsetninger!$B$20,IF(18-$Z$60&lt;6,Forutsetninger!$B$21,Forutsetninger!$B$22))))</f>
        <v/>
      </c>
      <c r="T60" s="48">
        <f>IF($Z$60="",0,IF(19&lt;$Z$60,0,IF(19-$Z$60&lt;3,Forutsetninger!$B$20,IF(19-$Z$60&lt;6,Forutsetninger!$B$21,Forutsetninger!$B$22))))</f>
        <v/>
      </c>
      <c r="U60" s="48">
        <f>IF($Z$60="",0,IF(20&lt;$Z$60,0,IF(20-$Z$60&lt;3,Forutsetninger!$B$20,IF(20-$Z$60&lt;6,Forutsetninger!$B$21,Forutsetninger!$B$22))))</f>
        <v/>
      </c>
      <c r="V60" s="48">
        <f>IF($Z$60="",0,IF(21&lt;$Z$60,0,IF(21-$Z$60&lt;3,Forutsetninger!$B$20,IF(21-$Z$60&lt;6,Forutsetninger!$B$21,Forutsetninger!$B$22))))</f>
        <v/>
      </c>
      <c r="W60" s="48">
        <f>IF($Z$60="",0,IF(22&lt;$Z$60,0,IF(22-$Z$60&lt;3,Forutsetninger!$B$20,IF(22-$Z$60&lt;6,Forutsetninger!$B$21,Forutsetninger!$B$22))))</f>
        <v/>
      </c>
      <c r="X60" s="48">
        <f>IF($Z$60="",0,IF(23&lt;$Z$60,0,IF(23-$Z$60&lt;3,Forutsetninger!$B$20,IF(23-$Z$60&lt;6,Forutsetninger!$B$21,Forutsetninger!$B$22))))</f>
        <v/>
      </c>
      <c r="Y60" s="48">
        <f>IF($Z$60="",0,IF(24&lt;$Z$60,0,IF(24-$Z$60&lt;3,Forutsetninger!$B$20,IF(24-$Z$60&lt;6,Forutsetninger!$B$21,Forutsetninger!$B$22))))</f>
        <v/>
      </c>
      <c r="Z60" s="41" t="n"/>
    </row>
    <row r="61">
      <c r="A61" s="6" t="inlineStr">
        <is>
          <t>Megler-stol 8 (ledig)</t>
        </is>
      </c>
      <c r="B61" s="48">
        <f>IF($Z$61="",0,IF(1&lt;$Z$61,0,IF(1-$Z$61&lt;3,Forutsetninger!$B$20,IF(1-$Z$61&lt;6,Forutsetninger!$B$21,Forutsetninger!$B$22))))</f>
        <v/>
      </c>
      <c r="C61" s="48">
        <f>IF($Z$61="",0,IF(2&lt;$Z$61,0,IF(2-$Z$61&lt;3,Forutsetninger!$B$20,IF(2-$Z$61&lt;6,Forutsetninger!$B$21,Forutsetninger!$B$22))))</f>
        <v/>
      </c>
      <c r="D61" s="48">
        <f>IF($Z$61="",0,IF(3&lt;$Z$61,0,IF(3-$Z$61&lt;3,Forutsetninger!$B$20,IF(3-$Z$61&lt;6,Forutsetninger!$B$21,Forutsetninger!$B$22))))</f>
        <v/>
      </c>
      <c r="E61" s="48">
        <f>IF($Z$61="",0,IF(4&lt;$Z$61,0,IF(4-$Z$61&lt;3,Forutsetninger!$B$20,IF(4-$Z$61&lt;6,Forutsetninger!$B$21,Forutsetninger!$B$22))))</f>
        <v/>
      </c>
      <c r="F61" s="48">
        <f>IF($Z$61="",0,IF(5&lt;$Z$61,0,IF(5-$Z$61&lt;3,Forutsetninger!$B$20,IF(5-$Z$61&lt;6,Forutsetninger!$B$21,Forutsetninger!$B$22))))</f>
        <v/>
      </c>
      <c r="G61" s="48">
        <f>IF($Z$61="",0,IF(6&lt;$Z$61,0,IF(6-$Z$61&lt;3,Forutsetninger!$B$20,IF(6-$Z$61&lt;6,Forutsetninger!$B$21,Forutsetninger!$B$22))))</f>
        <v/>
      </c>
      <c r="H61" s="48">
        <f>IF($Z$61="",0,IF(7&lt;$Z$61,0,IF(7-$Z$61&lt;3,Forutsetninger!$B$20,IF(7-$Z$61&lt;6,Forutsetninger!$B$21,Forutsetninger!$B$22))))</f>
        <v/>
      </c>
      <c r="I61" s="48">
        <f>IF($Z$61="",0,IF(8&lt;$Z$61,0,IF(8-$Z$61&lt;3,Forutsetninger!$B$20,IF(8-$Z$61&lt;6,Forutsetninger!$B$21,Forutsetninger!$B$22))))</f>
        <v/>
      </c>
      <c r="J61" s="48">
        <f>IF($Z$61="",0,IF(9&lt;$Z$61,0,IF(9-$Z$61&lt;3,Forutsetninger!$B$20,IF(9-$Z$61&lt;6,Forutsetninger!$B$21,Forutsetninger!$B$22))))</f>
        <v/>
      </c>
      <c r="K61" s="48">
        <f>IF($Z$61="",0,IF(10&lt;$Z$61,0,IF(10-$Z$61&lt;3,Forutsetninger!$B$20,IF(10-$Z$61&lt;6,Forutsetninger!$B$21,Forutsetninger!$B$22))))</f>
        <v/>
      </c>
      <c r="L61" s="48">
        <f>IF($Z$61="",0,IF(11&lt;$Z$61,0,IF(11-$Z$61&lt;3,Forutsetninger!$B$20,IF(11-$Z$61&lt;6,Forutsetninger!$B$21,Forutsetninger!$B$22))))</f>
        <v/>
      </c>
      <c r="M61" s="48">
        <f>IF($Z$61="",0,IF(12&lt;$Z$61,0,IF(12-$Z$61&lt;3,Forutsetninger!$B$20,IF(12-$Z$61&lt;6,Forutsetninger!$B$21,Forutsetninger!$B$22))))</f>
        <v/>
      </c>
      <c r="N61" s="48">
        <f>IF($Z$61="",0,IF(13&lt;$Z$61,0,IF(13-$Z$61&lt;3,Forutsetninger!$B$20,IF(13-$Z$61&lt;6,Forutsetninger!$B$21,Forutsetninger!$B$22))))</f>
        <v/>
      </c>
      <c r="O61" s="48">
        <f>IF($Z$61="",0,IF(14&lt;$Z$61,0,IF(14-$Z$61&lt;3,Forutsetninger!$B$20,IF(14-$Z$61&lt;6,Forutsetninger!$B$21,Forutsetninger!$B$22))))</f>
        <v/>
      </c>
      <c r="P61" s="48">
        <f>IF($Z$61="",0,IF(15&lt;$Z$61,0,IF(15-$Z$61&lt;3,Forutsetninger!$B$20,IF(15-$Z$61&lt;6,Forutsetninger!$B$21,Forutsetninger!$B$22))))</f>
        <v/>
      </c>
      <c r="Q61" s="48">
        <f>IF($Z$61="",0,IF(16&lt;$Z$61,0,IF(16-$Z$61&lt;3,Forutsetninger!$B$20,IF(16-$Z$61&lt;6,Forutsetninger!$B$21,Forutsetninger!$B$22))))</f>
        <v/>
      </c>
      <c r="R61" s="48">
        <f>IF($Z$61="",0,IF(17&lt;$Z$61,0,IF(17-$Z$61&lt;3,Forutsetninger!$B$20,IF(17-$Z$61&lt;6,Forutsetninger!$B$21,Forutsetninger!$B$22))))</f>
        <v/>
      </c>
      <c r="S61" s="48">
        <f>IF($Z$61="",0,IF(18&lt;$Z$61,0,IF(18-$Z$61&lt;3,Forutsetninger!$B$20,IF(18-$Z$61&lt;6,Forutsetninger!$B$21,Forutsetninger!$B$22))))</f>
        <v/>
      </c>
      <c r="T61" s="48">
        <f>IF($Z$61="",0,IF(19&lt;$Z$61,0,IF(19-$Z$61&lt;3,Forutsetninger!$B$20,IF(19-$Z$61&lt;6,Forutsetninger!$B$21,Forutsetninger!$B$22))))</f>
        <v/>
      </c>
      <c r="U61" s="48">
        <f>IF($Z$61="",0,IF(20&lt;$Z$61,0,IF(20-$Z$61&lt;3,Forutsetninger!$B$20,IF(20-$Z$61&lt;6,Forutsetninger!$B$21,Forutsetninger!$B$22))))</f>
        <v/>
      </c>
      <c r="V61" s="48">
        <f>IF($Z$61="",0,IF(21&lt;$Z$61,0,IF(21-$Z$61&lt;3,Forutsetninger!$B$20,IF(21-$Z$61&lt;6,Forutsetninger!$B$21,Forutsetninger!$B$22))))</f>
        <v/>
      </c>
      <c r="W61" s="48">
        <f>IF($Z$61="",0,IF(22&lt;$Z$61,0,IF(22-$Z$61&lt;3,Forutsetninger!$B$20,IF(22-$Z$61&lt;6,Forutsetninger!$B$21,Forutsetninger!$B$22))))</f>
        <v/>
      </c>
      <c r="X61" s="48">
        <f>IF($Z$61="",0,IF(23&lt;$Z$61,0,IF(23-$Z$61&lt;3,Forutsetninger!$B$20,IF(23-$Z$61&lt;6,Forutsetninger!$B$21,Forutsetninger!$B$22))))</f>
        <v/>
      </c>
      <c r="Y61" s="48">
        <f>IF($Z$61="",0,IF(24&lt;$Z$61,0,IF(24-$Z$61&lt;3,Forutsetninger!$B$20,IF(24-$Z$61&lt;6,Forutsetninger!$B$21,Forutsetninger!$B$22))))</f>
        <v/>
      </c>
      <c r="Z61" s="41" t="n"/>
    </row>
    <row r="62">
      <c r="A62" s="12" t="inlineStr">
        <is>
          <t>Producing megler-FTE (sum stoler)</t>
        </is>
      </c>
      <c r="B62" s="49">
        <f>B54+B55+B56+B57+B58+B59+B60+B61</f>
        <v/>
      </c>
      <c r="C62" s="49">
        <f>C54+C55+C56+C57+C58+C59+C60+C61</f>
        <v/>
      </c>
      <c r="D62" s="49">
        <f>D54+D55+D56+D57+D58+D59+D60+D61</f>
        <v/>
      </c>
      <c r="E62" s="49">
        <f>E54+E55+E56+E57+E58+E59+E60+E61</f>
        <v/>
      </c>
      <c r="F62" s="49">
        <f>F54+F55+F56+F57+F58+F59+F60+F61</f>
        <v/>
      </c>
      <c r="G62" s="49">
        <f>G54+G55+G56+G57+G58+G59+G60+G61</f>
        <v/>
      </c>
      <c r="H62" s="49">
        <f>H54+H55+H56+H57+H58+H59+H60+H61</f>
        <v/>
      </c>
      <c r="I62" s="49">
        <f>I54+I55+I56+I57+I58+I59+I60+I61</f>
        <v/>
      </c>
      <c r="J62" s="49">
        <f>J54+J55+J56+J57+J58+J59+J60+J61</f>
        <v/>
      </c>
      <c r="K62" s="49">
        <f>K54+K55+K56+K57+K58+K59+K60+K61</f>
        <v/>
      </c>
      <c r="L62" s="49">
        <f>L54+L55+L56+L57+L58+L59+L60+L61</f>
        <v/>
      </c>
      <c r="M62" s="49">
        <f>M54+M55+M56+M57+M58+M59+M60+M61</f>
        <v/>
      </c>
      <c r="N62" s="49">
        <f>N54+N55+N56+N57+N58+N59+N60+N61</f>
        <v/>
      </c>
      <c r="O62" s="49">
        <f>O54+O55+O56+O57+O58+O59+O60+O61</f>
        <v/>
      </c>
      <c r="P62" s="49">
        <f>P54+P55+P56+P57+P58+P59+P60+P61</f>
        <v/>
      </c>
      <c r="Q62" s="49">
        <f>Q54+Q55+Q56+Q57+Q58+Q59+Q60+Q61</f>
        <v/>
      </c>
      <c r="R62" s="49">
        <f>R54+R55+R56+R57+R58+R59+R60+R61</f>
        <v/>
      </c>
      <c r="S62" s="49">
        <f>S54+S55+S56+S57+S58+S59+S60+S61</f>
        <v/>
      </c>
      <c r="T62" s="49">
        <f>T54+T55+T56+T57+T58+T59+T60+T61</f>
        <v/>
      </c>
      <c r="U62" s="49">
        <f>U54+U55+U56+U57+U58+U59+U60+U61</f>
        <v/>
      </c>
      <c r="V62" s="49">
        <f>V54+V55+V56+V57+V58+V59+V60+V61</f>
        <v/>
      </c>
      <c r="W62" s="49">
        <f>W54+W55+W56+W57+W58+W59+W60+W61</f>
        <v/>
      </c>
      <c r="X62" s="49">
        <f>X54+X55+X56+X57+X58+X59+X60+X61</f>
        <v/>
      </c>
      <c r="Y62" s="49">
        <f>Y54+Y55+Y56+Y57+Y58+Y59+Y60+Y61</f>
        <v/>
      </c>
      <c r="Z62" s="49">
        <f>AVERAGE(B62:M62)</f>
        <v/>
      </c>
      <c r="AA62" s="49">
        <f>AVERAGE(N62:Y62)</f>
        <v/>
      </c>
    </row>
    <row r="63">
      <c r="A63" s="6" t="inlineStr">
        <is>
          <t>Bemannede stoler v/månedsslutt (u/Sindre)</t>
        </is>
      </c>
      <c r="B63" s="50">
        <f>SUMPRODUCT(($Z$54:$Z$61&lt;&gt;"")*($Z$54:$Z$61&lt;=1))</f>
        <v/>
      </c>
      <c r="C63" s="50">
        <f>SUMPRODUCT(($Z$54:$Z$61&lt;&gt;"")*($Z$54:$Z$61&lt;=2))</f>
        <v/>
      </c>
      <c r="D63" s="50">
        <f>SUMPRODUCT(($Z$54:$Z$61&lt;&gt;"")*($Z$54:$Z$61&lt;=3))</f>
        <v/>
      </c>
      <c r="E63" s="50">
        <f>SUMPRODUCT(($Z$54:$Z$61&lt;&gt;"")*($Z$54:$Z$61&lt;=4))</f>
        <v/>
      </c>
      <c r="F63" s="50">
        <f>SUMPRODUCT(($Z$54:$Z$61&lt;&gt;"")*($Z$54:$Z$61&lt;=5))</f>
        <v/>
      </c>
      <c r="G63" s="50">
        <f>SUMPRODUCT(($Z$54:$Z$61&lt;&gt;"")*($Z$54:$Z$61&lt;=6))</f>
        <v/>
      </c>
      <c r="H63" s="50">
        <f>SUMPRODUCT(($Z$54:$Z$61&lt;&gt;"")*($Z$54:$Z$61&lt;=7))</f>
        <v/>
      </c>
      <c r="I63" s="50">
        <f>SUMPRODUCT(($Z$54:$Z$61&lt;&gt;"")*($Z$54:$Z$61&lt;=8))</f>
        <v/>
      </c>
      <c r="J63" s="50">
        <f>SUMPRODUCT(($Z$54:$Z$61&lt;&gt;"")*($Z$54:$Z$61&lt;=9))</f>
        <v/>
      </c>
      <c r="K63" s="50">
        <f>SUMPRODUCT(($Z$54:$Z$61&lt;&gt;"")*($Z$54:$Z$61&lt;=10))</f>
        <v/>
      </c>
      <c r="L63" s="50">
        <f>SUMPRODUCT(($Z$54:$Z$61&lt;&gt;"")*($Z$54:$Z$61&lt;=11))</f>
        <v/>
      </c>
      <c r="M63" s="50">
        <f>SUMPRODUCT(($Z$54:$Z$61&lt;&gt;"")*($Z$54:$Z$61&lt;=12))</f>
        <v/>
      </c>
      <c r="N63" s="50">
        <f>SUMPRODUCT(($Z$54:$Z$61&lt;&gt;"")*($Z$54:$Z$61&lt;=13))</f>
        <v/>
      </c>
      <c r="O63" s="50">
        <f>SUMPRODUCT(($Z$54:$Z$61&lt;&gt;"")*($Z$54:$Z$61&lt;=14))</f>
        <v/>
      </c>
      <c r="P63" s="50">
        <f>SUMPRODUCT(($Z$54:$Z$61&lt;&gt;"")*($Z$54:$Z$61&lt;=15))</f>
        <v/>
      </c>
      <c r="Q63" s="50">
        <f>SUMPRODUCT(($Z$54:$Z$61&lt;&gt;"")*($Z$54:$Z$61&lt;=16))</f>
        <v/>
      </c>
      <c r="R63" s="50">
        <f>SUMPRODUCT(($Z$54:$Z$61&lt;&gt;"")*($Z$54:$Z$61&lt;=17))</f>
        <v/>
      </c>
      <c r="S63" s="50">
        <f>SUMPRODUCT(($Z$54:$Z$61&lt;&gt;"")*($Z$54:$Z$61&lt;=18))</f>
        <v/>
      </c>
      <c r="T63" s="50">
        <f>SUMPRODUCT(($Z$54:$Z$61&lt;&gt;"")*($Z$54:$Z$61&lt;=19))</f>
        <v/>
      </c>
      <c r="U63" s="50">
        <f>SUMPRODUCT(($Z$54:$Z$61&lt;&gt;"")*($Z$54:$Z$61&lt;=20))</f>
        <v/>
      </c>
      <c r="V63" s="50">
        <f>SUMPRODUCT(($Z$54:$Z$61&lt;&gt;"")*($Z$54:$Z$61&lt;=21))</f>
        <v/>
      </c>
      <c r="W63" s="50">
        <f>SUMPRODUCT(($Z$54:$Z$61&lt;&gt;"")*($Z$54:$Z$61&lt;=22))</f>
        <v/>
      </c>
      <c r="X63" s="50">
        <f>SUMPRODUCT(($Z$54:$Z$61&lt;&gt;"")*($Z$54:$Z$61&lt;=23))</f>
        <v/>
      </c>
      <c r="Y63" s="50">
        <f>SUMPRODUCT(($Z$54:$Z$61&lt;&gt;"")*($Z$54:$Z$61&lt;=24))</f>
        <v/>
      </c>
      <c r="Z63" s="7">
        <f>M63</f>
        <v/>
      </c>
      <c r="AA63" s="7">
        <f>Y63</f>
        <v/>
      </c>
    </row>
    <row r="65">
      <c r="A65" s="37" t="inlineStr">
        <is>
          <t>E. OMSETNING BOKFØRT (i salgsmåneden) — ex mva</t>
        </is>
      </c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</row>
    <row r="66">
      <c r="A66" s="6" t="inlineStr">
        <is>
          <t>Megler-omsetning bokført</t>
        </is>
      </c>
      <c r="B66" s="16">
        <f>B62*Forutsetninger!$B$13/12*IF($B$32=1,$B$48*12,1)</f>
        <v/>
      </c>
      <c r="C66" s="16">
        <f>C62*Forutsetninger!$B$13/12*IF($B$32=1,$C$48*12,1)</f>
        <v/>
      </c>
      <c r="D66" s="16">
        <f>D62*Forutsetninger!$B$13/12*IF($B$32=1,$D$48*12,1)</f>
        <v/>
      </c>
      <c r="E66" s="16">
        <f>E62*Forutsetninger!$B$13/12*IF($B$32=1,$E$48*12,1)</f>
        <v/>
      </c>
      <c r="F66" s="16">
        <f>F62*Forutsetninger!$B$13/12*IF($B$32=1,$F$48*12,1)</f>
        <v/>
      </c>
      <c r="G66" s="16">
        <f>G62*Forutsetninger!$B$13/12*IF($B$32=1,$G$48*12,1)</f>
        <v/>
      </c>
      <c r="H66" s="16">
        <f>H62*Forutsetninger!$B$13/12*IF($B$32=1,$H$48*12,1)</f>
        <v/>
      </c>
      <c r="I66" s="16">
        <f>I62*Forutsetninger!$B$13/12*IF($B$32=1,$I$48*12,1)</f>
        <v/>
      </c>
      <c r="J66" s="16">
        <f>J62*Forutsetninger!$B$13/12*IF($B$32=1,$J$48*12,1)</f>
        <v/>
      </c>
      <c r="K66" s="16">
        <f>K62*Forutsetninger!$B$13/12*IF($B$32=1,$K$48*12,1)</f>
        <v/>
      </c>
      <c r="L66" s="16">
        <f>L62*Forutsetninger!$B$13/12*IF($B$32=1,$L$48*12,1)</f>
        <v/>
      </c>
      <c r="M66" s="16">
        <f>M62*Forutsetninger!$B$13/12*IF($B$32=1,$M$48*12,1)</f>
        <v/>
      </c>
      <c r="N66" s="16">
        <f>N62*Forutsetninger!$B$13/12*IF($B$32=1,$B$48*12,1)</f>
        <v/>
      </c>
      <c r="O66" s="16">
        <f>O62*Forutsetninger!$B$13/12*IF($B$32=1,$C$48*12,1)</f>
        <v/>
      </c>
      <c r="P66" s="16">
        <f>P62*Forutsetninger!$B$13/12*IF($B$32=1,$D$48*12,1)</f>
        <v/>
      </c>
      <c r="Q66" s="16">
        <f>Q62*Forutsetninger!$B$13/12*IF($B$32=1,$E$48*12,1)</f>
        <v/>
      </c>
      <c r="R66" s="16">
        <f>R62*Forutsetninger!$B$13/12*IF($B$32=1,$F$48*12,1)</f>
        <v/>
      </c>
      <c r="S66" s="16">
        <f>S62*Forutsetninger!$B$13/12*IF($B$32=1,$G$48*12,1)</f>
        <v/>
      </c>
      <c r="T66" s="16">
        <f>T62*Forutsetninger!$B$13/12*IF($B$32=1,$H$48*12,1)</f>
        <v/>
      </c>
      <c r="U66" s="16">
        <f>U62*Forutsetninger!$B$13/12*IF($B$32=1,$I$48*12,1)</f>
        <v/>
      </c>
      <c r="V66" s="16">
        <f>V62*Forutsetninger!$B$13/12*IF($B$32=1,$J$48*12,1)</f>
        <v/>
      </c>
      <c r="W66" s="16">
        <f>W62*Forutsetninger!$B$13/12*IF($B$32=1,$K$48*12,1)</f>
        <v/>
      </c>
      <c r="X66" s="16">
        <f>X62*Forutsetninger!$B$13/12*IF($B$32=1,$L$48*12,1)</f>
        <v/>
      </c>
      <c r="Y66" s="16">
        <f>Y62*Forutsetninger!$B$13/12*IF($B$32=1,$M$48*12,1)</f>
        <v/>
      </c>
      <c r="Z66" s="8">
        <f>SUM(B66:M66)</f>
        <v/>
      </c>
      <c r="AA66" s="8">
        <f>SUM(N66:Y66)</f>
        <v/>
      </c>
    </row>
    <row r="67">
      <c r="A67" s="6" t="inlineStr">
        <is>
          <t>Sindre-omsetning bokført</t>
        </is>
      </c>
      <c r="B67" s="16">
        <f>Forutsetninger!$B$14/12*IF($B$32=1,$B$48*12,1)</f>
        <v/>
      </c>
      <c r="C67" s="16">
        <f>Forutsetninger!$B$14/12*IF($B$32=1,$C$48*12,1)</f>
        <v/>
      </c>
      <c r="D67" s="16">
        <f>Forutsetninger!$B$14/12*IF($B$32=1,$D$48*12,1)</f>
        <v/>
      </c>
      <c r="E67" s="16">
        <f>Forutsetninger!$B$14/12*IF($B$32=1,$E$48*12,1)</f>
        <v/>
      </c>
      <c r="F67" s="16">
        <f>Forutsetninger!$B$14/12*IF($B$32=1,$F$48*12,1)</f>
        <v/>
      </c>
      <c r="G67" s="16">
        <f>Forutsetninger!$B$14/12*IF($B$32=1,$G$48*12,1)</f>
        <v/>
      </c>
      <c r="H67" s="16">
        <f>Forutsetninger!$B$14/12*IF($B$32=1,$H$48*12,1)</f>
        <v/>
      </c>
      <c r="I67" s="16">
        <f>Forutsetninger!$B$14/12*IF($B$32=1,$I$48*12,1)</f>
        <v/>
      </c>
      <c r="J67" s="16">
        <f>Forutsetninger!$B$14/12*IF($B$32=1,$J$48*12,1)</f>
        <v/>
      </c>
      <c r="K67" s="16">
        <f>Forutsetninger!$B$14/12*IF($B$32=1,$K$48*12,1)</f>
        <v/>
      </c>
      <c r="L67" s="16">
        <f>Forutsetninger!$B$14/12*IF($B$32=1,$L$48*12,1)</f>
        <v/>
      </c>
      <c r="M67" s="16">
        <f>Forutsetninger!$B$14/12*IF($B$32=1,$M$48*12,1)</f>
        <v/>
      </c>
      <c r="N67" s="16">
        <f>Forutsetninger!$B$14/12*IF($B$32=1,$B$48*12,1)</f>
        <v/>
      </c>
      <c r="O67" s="16">
        <f>Forutsetninger!$B$14/12*IF($B$32=1,$C$48*12,1)</f>
        <v/>
      </c>
      <c r="P67" s="16">
        <f>Forutsetninger!$B$14/12*IF($B$32=1,$D$48*12,1)</f>
        <v/>
      </c>
      <c r="Q67" s="16">
        <f>Forutsetninger!$B$14/12*IF($B$32=1,$E$48*12,1)</f>
        <v/>
      </c>
      <c r="R67" s="16">
        <f>Forutsetninger!$B$14/12*IF($B$32=1,$F$48*12,1)</f>
        <v/>
      </c>
      <c r="S67" s="16">
        <f>Forutsetninger!$B$14/12*IF($B$32=1,$G$48*12,1)</f>
        <v/>
      </c>
      <c r="T67" s="16">
        <f>Forutsetninger!$B$14/12*IF($B$32=1,$H$48*12,1)</f>
        <v/>
      </c>
      <c r="U67" s="16">
        <f>Forutsetninger!$B$14/12*IF($B$32=1,$I$48*12,1)</f>
        <v/>
      </c>
      <c r="V67" s="16">
        <f>Forutsetninger!$B$14/12*IF($B$32=1,$J$48*12,1)</f>
        <v/>
      </c>
      <c r="W67" s="16">
        <f>Forutsetninger!$B$14/12*IF($B$32=1,$K$48*12,1)</f>
        <v/>
      </c>
      <c r="X67" s="16">
        <f>Forutsetninger!$B$14/12*IF($B$32=1,$L$48*12,1)</f>
        <v/>
      </c>
      <c r="Y67" s="16">
        <f>Forutsetninger!$B$14/12*IF($B$32=1,$M$48*12,1)</f>
        <v/>
      </c>
      <c r="Z67" s="8">
        <f>SUM(B67:M67)</f>
        <v/>
      </c>
      <c r="AA67" s="8">
        <f>SUM(N67:Y67)</f>
        <v/>
      </c>
    </row>
    <row r="68">
      <c r="A68" s="12" t="inlineStr">
        <is>
          <t>Sum provisjon bokført (ex mva)</t>
        </is>
      </c>
      <c r="B68" s="8">
        <f>B66+B67</f>
        <v/>
      </c>
      <c r="C68" s="8">
        <f>C66+C67</f>
        <v/>
      </c>
      <c r="D68" s="8">
        <f>D66+D67</f>
        <v/>
      </c>
      <c r="E68" s="8">
        <f>E66+E67</f>
        <v/>
      </c>
      <c r="F68" s="8">
        <f>F66+F67</f>
        <v/>
      </c>
      <c r="G68" s="8">
        <f>G66+G67</f>
        <v/>
      </c>
      <c r="H68" s="8">
        <f>H66+H67</f>
        <v/>
      </c>
      <c r="I68" s="8">
        <f>I66+I67</f>
        <v/>
      </c>
      <c r="J68" s="8">
        <f>J66+J67</f>
        <v/>
      </c>
      <c r="K68" s="8">
        <f>K66+K67</f>
        <v/>
      </c>
      <c r="L68" s="8">
        <f>L66+L67</f>
        <v/>
      </c>
      <c r="M68" s="8">
        <f>M66+M67</f>
        <v/>
      </c>
      <c r="N68" s="8">
        <f>N66+N67</f>
        <v/>
      </c>
      <c r="O68" s="8">
        <f>O66+O67</f>
        <v/>
      </c>
      <c r="P68" s="8">
        <f>P66+P67</f>
        <v/>
      </c>
      <c r="Q68" s="8">
        <f>Q66+Q67</f>
        <v/>
      </c>
      <c r="R68" s="8">
        <f>R66+R67</f>
        <v/>
      </c>
      <c r="S68" s="8">
        <f>S66+S67</f>
        <v/>
      </c>
      <c r="T68" s="8">
        <f>T66+T67</f>
        <v/>
      </c>
      <c r="U68" s="8">
        <f>U66+U67</f>
        <v/>
      </c>
      <c r="V68" s="8">
        <f>V66+V67</f>
        <v/>
      </c>
      <c r="W68" s="8">
        <f>W66+W67</f>
        <v/>
      </c>
      <c r="X68" s="8">
        <f>X66+X67</f>
        <v/>
      </c>
      <c r="Y68" s="8">
        <f>Y66+Y67</f>
        <v/>
      </c>
      <c r="Z68" s="8">
        <f>SUM(B68:M68)</f>
        <v/>
      </c>
      <c r="AA68" s="8">
        <f>SUM(N68:Y68)</f>
        <v/>
      </c>
    </row>
    <row r="69">
      <c r="A69" s="6" t="inlineStr">
        <is>
          <t>Båter solgt (informativ)</t>
        </is>
      </c>
      <c r="B69" s="48">
        <f>B68/Forutsetninger!$B$5</f>
        <v/>
      </c>
      <c r="C69" s="48">
        <f>C68/Forutsetninger!$B$5</f>
        <v/>
      </c>
      <c r="D69" s="48">
        <f>D68/Forutsetninger!$B$5</f>
        <v/>
      </c>
      <c r="E69" s="48">
        <f>E68/Forutsetninger!$B$5</f>
        <v/>
      </c>
      <c r="F69" s="48">
        <f>F68/Forutsetninger!$B$5</f>
        <v/>
      </c>
      <c r="G69" s="48">
        <f>G68/Forutsetninger!$B$5</f>
        <v/>
      </c>
      <c r="H69" s="48">
        <f>H68/Forutsetninger!$B$5</f>
        <v/>
      </c>
      <c r="I69" s="48">
        <f>I68/Forutsetninger!$B$5</f>
        <v/>
      </c>
      <c r="J69" s="48">
        <f>J68/Forutsetninger!$B$5</f>
        <v/>
      </c>
      <c r="K69" s="48">
        <f>K68/Forutsetninger!$B$5</f>
        <v/>
      </c>
      <c r="L69" s="48">
        <f>L68/Forutsetninger!$B$5</f>
        <v/>
      </c>
      <c r="M69" s="48">
        <f>M68/Forutsetninger!$B$5</f>
        <v/>
      </c>
      <c r="N69" s="48">
        <f>N68/Forutsetninger!$B$5</f>
        <v/>
      </c>
      <c r="O69" s="48">
        <f>O68/Forutsetninger!$B$5</f>
        <v/>
      </c>
      <c r="P69" s="48">
        <f>P68/Forutsetninger!$B$5</f>
        <v/>
      </c>
      <c r="Q69" s="48">
        <f>Q68/Forutsetninger!$B$5</f>
        <v/>
      </c>
      <c r="R69" s="48">
        <f>R68/Forutsetninger!$B$5</f>
        <v/>
      </c>
      <c r="S69" s="48">
        <f>S68/Forutsetninger!$B$5</f>
        <v/>
      </c>
      <c r="T69" s="48">
        <f>T68/Forutsetninger!$B$5</f>
        <v/>
      </c>
      <c r="U69" s="48">
        <f>U68/Forutsetninger!$B$5</f>
        <v/>
      </c>
      <c r="V69" s="48">
        <f>V68/Forutsetninger!$B$5</f>
        <v/>
      </c>
      <c r="W69" s="48">
        <f>W68/Forutsetninger!$B$5</f>
        <v/>
      </c>
      <c r="X69" s="48">
        <f>X68/Forutsetninger!$B$5</f>
        <v/>
      </c>
      <c r="Y69" s="48">
        <f>Y68/Forutsetninger!$B$5</f>
        <v/>
      </c>
      <c r="Z69" s="49">
        <f>SUM(B69:M69)</f>
        <v/>
      </c>
      <c r="AA69" s="49">
        <f>SUM(N69:Y69)</f>
        <v/>
      </c>
    </row>
    <row r="70">
      <c r="A70" s="40" t="inlineStr">
        <is>
          <t>Overheng: provisjon fra båter solgt okt–des 2026 som innbetales i 2027 (ANSLAG). Uten dette blir jan–mar 2027 kunstig tørt (salg tidlig i 2027 betales ~89 dg senere).</t>
        </is>
      </c>
    </row>
    <row r="71">
      <c r="A71" s="6" t="inlineStr">
        <is>
          <t>Bokført provisjon okt / nov / des 2026 (ANSLAG)</t>
        </is>
      </c>
      <c r="B71" s="34" t="n">
        <v>170000</v>
      </c>
      <c r="C71" s="34" t="n">
        <v>225000</v>
      </c>
      <c r="D71" s="34" t="n">
        <v>155000</v>
      </c>
      <c r="E71" s="4" t="inlineStr">
        <is>
          <t>← okt / nov / des 2026</t>
        </is>
      </c>
    </row>
    <row r="73">
      <c r="A73" s="37" t="inlineStr">
        <is>
          <t>F. INNBETALING (fra kunder, inkl. mva) = bokført provisjon × 1,25 × betalingsprofil</t>
        </is>
      </c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</row>
    <row r="74">
      <c r="A74" s="12" t="inlineStr">
        <is>
          <t>Innbetalt fra kunder (provisjon inkl. mva)</t>
        </is>
      </c>
      <c r="B74" s="8">
        <f>B68*(1+$B$35)*$B$43+$D$71*(1+$B$35)*$C$43+$C$71*(1+$B$35)*$D$43+$B$71*(1+$B$35)*$E$43</f>
        <v/>
      </c>
      <c r="C74" s="8">
        <f>C68*(1+$B$35)*$B$43+B68*(1+$B$35)*$C$43+$D$71*(1+$B$35)*$D$43+$C$71*(1+$B$35)*$E$43+$B$71*(1+$B$35)*$F$43</f>
        <v/>
      </c>
      <c r="D74" s="8">
        <f>D68*(1+$B$35)*$B$43+C68*(1+$B$35)*$C$43+B68*(1+$B$35)*$D$43+$D$71*(1+$B$35)*$E$43+$C$71*(1+$B$35)*$F$43</f>
        <v/>
      </c>
      <c r="E74" s="8">
        <f>E68*(1+$B$35)*$B$43+D68*(1+$B$35)*$C$43+C68*(1+$B$35)*$D$43+B68*(1+$B$35)*$E$43+$D$71*(1+$B$35)*$F$43</f>
        <v/>
      </c>
      <c r="F74" s="8">
        <f>F68*(1+$B$35)*$B$43+E68*(1+$B$35)*$C$43+D68*(1+$B$35)*$D$43+C68*(1+$B$35)*$E$43+B68*(1+$B$35)*$F$43</f>
        <v/>
      </c>
      <c r="G74" s="8">
        <f>G68*(1+$B$35)*$B$43+F68*(1+$B$35)*$C$43+E68*(1+$B$35)*$D$43+D68*(1+$B$35)*$E$43+C68*(1+$B$35)*$F$43</f>
        <v/>
      </c>
      <c r="H74" s="8">
        <f>H68*(1+$B$35)*$B$43+G68*(1+$B$35)*$C$43+F68*(1+$B$35)*$D$43+E68*(1+$B$35)*$E$43+D68*(1+$B$35)*$F$43</f>
        <v/>
      </c>
      <c r="I74" s="8">
        <f>I68*(1+$B$35)*$B$43+H68*(1+$B$35)*$C$43+G68*(1+$B$35)*$D$43+F68*(1+$B$35)*$E$43+E68*(1+$B$35)*$F$43</f>
        <v/>
      </c>
      <c r="J74" s="8">
        <f>J68*(1+$B$35)*$B$43+I68*(1+$B$35)*$C$43+H68*(1+$B$35)*$D$43+G68*(1+$B$35)*$E$43+F68*(1+$B$35)*$F$43</f>
        <v/>
      </c>
      <c r="K74" s="8">
        <f>K68*(1+$B$35)*$B$43+J68*(1+$B$35)*$C$43+I68*(1+$B$35)*$D$43+H68*(1+$B$35)*$E$43+G68*(1+$B$35)*$F$43</f>
        <v/>
      </c>
      <c r="L74" s="8">
        <f>L68*(1+$B$35)*$B$43+K68*(1+$B$35)*$C$43+J68*(1+$B$35)*$D$43+I68*(1+$B$35)*$E$43+H68*(1+$B$35)*$F$43</f>
        <v/>
      </c>
      <c r="M74" s="8">
        <f>M68*(1+$B$35)*$B$43+L68*(1+$B$35)*$C$43+K68*(1+$B$35)*$D$43+J68*(1+$B$35)*$E$43+I68*(1+$B$35)*$F$43</f>
        <v/>
      </c>
      <c r="N74" s="8">
        <f>N68*(1+$B$35)*$B$43+M68*(1+$B$35)*$C$43+L68*(1+$B$35)*$D$43+K68*(1+$B$35)*$E$43+J68*(1+$B$35)*$F$43</f>
        <v/>
      </c>
      <c r="O74" s="8">
        <f>O68*(1+$B$35)*$B$43+N68*(1+$B$35)*$C$43+M68*(1+$B$35)*$D$43+L68*(1+$B$35)*$E$43+K68*(1+$B$35)*$F$43</f>
        <v/>
      </c>
      <c r="P74" s="8">
        <f>P68*(1+$B$35)*$B$43+O68*(1+$B$35)*$C$43+N68*(1+$B$35)*$D$43+M68*(1+$B$35)*$E$43+L68*(1+$B$35)*$F$43</f>
        <v/>
      </c>
      <c r="Q74" s="8">
        <f>Q68*(1+$B$35)*$B$43+P68*(1+$B$35)*$C$43+O68*(1+$B$35)*$D$43+N68*(1+$B$35)*$E$43+M68*(1+$B$35)*$F$43</f>
        <v/>
      </c>
      <c r="R74" s="8">
        <f>R68*(1+$B$35)*$B$43+Q68*(1+$B$35)*$C$43+P68*(1+$B$35)*$D$43+O68*(1+$B$35)*$E$43+N68*(1+$B$35)*$F$43</f>
        <v/>
      </c>
      <c r="S74" s="8">
        <f>S68*(1+$B$35)*$B$43+R68*(1+$B$35)*$C$43+Q68*(1+$B$35)*$D$43+P68*(1+$B$35)*$E$43+O68*(1+$B$35)*$F$43</f>
        <v/>
      </c>
      <c r="T74" s="8">
        <f>T68*(1+$B$35)*$B$43+S68*(1+$B$35)*$C$43+R68*(1+$B$35)*$D$43+Q68*(1+$B$35)*$E$43+P68*(1+$B$35)*$F$43</f>
        <v/>
      </c>
      <c r="U74" s="8">
        <f>U68*(1+$B$35)*$B$43+T68*(1+$B$35)*$C$43+S68*(1+$B$35)*$D$43+R68*(1+$B$35)*$E$43+Q68*(1+$B$35)*$F$43</f>
        <v/>
      </c>
      <c r="V74" s="8">
        <f>V68*(1+$B$35)*$B$43+U68*(1+$B$35)*$C$43+T68*(1+$B$35)*$D$43+S68*(1+$B$35)*$E$43+R68*(1+$B$35)*$F$43</f>
        <v/>
      </c>
      <c r="W74" s="8">
        <f>W68*(1+$B$35)*$B$43+V68*(1+$B$35)*$C$43+U68*(1+$B$35)*$D$43+T68*(1+$B$35)*$E$43+S68*(1+$B$35)*$F$43</f>
        <v/>
      </c>
      <c r="X74" s="8">
        <f>X68*(1+$B$35)*$B$43+W68*(1+$B$35)*$C$43+V68*(1+$B$35)*$D$43+U68*(1+$B$35)*$E$43+T68*(1+$B$35)*$F$43</f>
        <v/>
      </c>
      <c r="Y74" s="8">
        <f>Y68*(1+$B$35)*$B$43+X68*(1+$B$35)*$C$43+W68*(1+$B$35)*$D$43+V68*(1+$B$35)*$E$43+U68*(1+$B$35)*$F$43</f>
        <v/>
      </c>
      <c r="Z74" s="8">
        <f>SUM(B74:M74)</f>
        <v/>
      </c>
      <c r="AA74" s="8">
        <f>SUM(N74:Y74)</f>
        <v/>
      </c>
    </row>
    <row r="75">
      <c r="A75" s="40" t="inlineStr">
        <is>
          <t>Kunden betaler provisjon + 25 % mva. HoY holder mva-en til terminoppgjøret (rad under i G). Ex mva-provisjonen er «Sum provisjon bokført» i blokk E.</t>
        </is>
      </c>
    </row>
    <row r="77">
      <c r="A77" s="37" t="inlineStr">
        <is>
          <t>G. UTBETALINGER</t>
        </is>
      </c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</row>
    <row r="78">
      <c r="A78" s="6" t="inlineStr">
        <is>
          <t>Meglerutbetaling (55 % av megler-oms)</t>
        </is>
      </c>
      <c r="B78" s="16">
        <f>IF(1-$B$34&gt;=1,INDEX(B66:Y66,1,1-$B$34),0)*Forutsetninger!$B$34</f>
        <v/>
      </c>
      <c r="C78" s="16">
        <f>IF(2-$B$34&gt;=1,INDEX(B66:Y66,1,2-$B$34),0)*Forutsetninger!$B$34</f>
        <v/>
      </c>
      <c r="D78" s="16">
        <f>IF(3-$B$34&gt;=1,INDEX(B66:Y66,1,3-$B$34),0)*Forutsetninger!$B$34</f>
        <v/>
      </c>
      <c r="E78" s="16">
        <f>IF(4-$B$34&gt;=1,INDEX(B66:Y66,1,4-$B$34),0)*Forutsetninger!$B$34</f>
        <v/>
      </c>
      <c r="F78" s="16">
        <f>IF(5-$B$34&gt;=1,INDEX(B66:Y66,1,5-$B$34),0)*Forutsetninger!$B$34</f>
        <v/>
      </c>
      <c r="G78" s="16">
        <f>IF(6-$B$34&gt;=1,INDEX(B66:Y66,1,6-$B$34),0)*Forutsetninger!$B$34</f>
        <v/>
      </c>
      <c r="H78" s="16">
        <f>IF(7-$B$34&gt;=1,INDEX(B66:Y66,1,7-$B$34),0)*Forutsetninger!$B$34</f>
        <v/>
      </c>
      <c r="I78" s="16">
        <f>IF(8-$B$34&gt;=1,INDEX(B66:Y66,1,8-$B$34),0)*Forutsetninger!$B$34</f>
        <v/>
      </c>
      <c r="J78" s="16">
        <f>IF(9-$B$34&gt;=1,INDEX(B66:Y66,1,9-$B$34),0)*Forutsetninger!$B$34</f>
        <v/>
      </c>
      <c r="K78" s="16">
        <f>IF(10-$B$34&gt;=1,INDEX(B66:Y66,1,10-$B$34),0)*Forutsetninger!$B$34</f>
        <v/>
      </c>
      <c r="L78" s="16">
        <f>IF(11-$B$34&gt;=1,INDEX(B66:Y66,1,11-$B$34),0)*Forutsetninger!$B$34</f>
        <v/>
      </c>
      <c r="M78" s="16">
        <f>IF(12-$B$34&gt;=1,INDEX(B66:Y66,1,12-$B$34),0)*Forutsetninger!$B$34</f>
        <v/>
      </c>
      <c r="N78" s="16">
        <f>IF(13-$B$34&gt;=1,INDEX(B66:Y66,1,13-$B$34),0)*Forutsetninger!$B$34</f>
        <v/>
      </c>
      <c r="O78" s="16">
        <f>IF(14-$B$34&gt;=1,INDEX(B66:Y66,1,14-$B$34),0)*Forutsetninger!$B$34</f>
        <v/>
      </c>
      <c r="P78" s="16">
        <f>IF(15-$B$34&gt;=1,INDEX(B66:Y66,1,15-$B$34),0)*Forutsetninger!$B$34</f>
        <v/>
      </c>
      <c r="Q78" s="16">
        <f>IF(16-$B$34&gt;=1,INDEX(B66:Y66,1,16-$B$34),0)*Forutsetninger!$B$34</f>
        <v/>
      </c>
      <c r="R78" s="16">
        <f>IF(17-$B$34&gt;=1,INDEX(B66:Y66,1,17-$B$34),0)*Forutsetninger!$B$34</f>
        <v/>
      </c>
      <c r="S78" s="16">
        <f>IF(18-$B$34&gt;=1,INDEX(B66:Y66,1,18-$B$34),0)*Forutsetninger!$B$34</f>
        <v/>
      </c>
      <c r="T78" s="16">
        <f>IF(19-$B$34&gt;=1,INDEX(B66:Y66,1,19-$B$34),0)*Forutsetninger!$B$34</f>
        <v/>
      </c>
      <c r="U78" s="16">
        <f>IF(20-$B$34&gt;=1,INDEX(B66:Y66,1,20-$B$34),0)*Forutsetninger!$B$34</f>
        <v/>
      </c>
      <c r="V78" s="16">
        <f>IF(21-$B$34&gt;=1,INDEX(B66:Y66,1,21-$B$34),0)*Forutsetninger!$B$34</f>
        <v/>
      </c>
      <c r="W78" s="16">
        <f>IF(22-$B$34&gt;=1,INDEX(B66:Y66,1,22-$B$34),0)*Forutsetninger!$B$34</f>
        <v/>
      </c>
      <c r="X78" s="16">
        <f>IF(23-$B$34&gt;=1,INDEX(B66:Y66,1,23-$B$34),0)*Forutsetninger!$B$34</f>
        <v/>
      </c>
      <c r="Y78" s="16">
        <f>IF(24-$B$34&gt;=1,INDEX(B66:Y66,1,24-$B$34),0)*Forutsetninger!$B$34</f>
        <v/>
      </c>
      <c r="Z78" s="8">
        <f>SUM(B78:M78)</f>
        <v/>
      </c>
      <c r="AA78" s="8">
        <f>SUM(N78:Y78)</f>
        <v/>
      </c>
    </row>
    <row r="79">
      <c r="A79" s="6" t="inlineStr">
        <is>
          <t>Sindre-lønn (7,1G, loaded)</t>
        </is>
      </c>
      <c r="B79" s="16">
        <f>MIN(Forutsetninger!$B$37*Forutsetninger!$B$14,Forutsetninger!$B$36)*Forutsetninger!$B$38/12</f>
        <v/>
      </c>
      <c r="C79" s="16">
        <f>MIN(Forutsetninger!$B$37*Forutsetninger!$B$14,Forutsetninger!$B$36)*Forutsetninger!$B$38/12</f>
        <v/>
      </c>
      <c r="D79" s="16">
        <f>MIN(Forutsetninger!$B$37*Forutsetninger!$B$14,Forutsetninger!$B$36)*Forutsetninger!$B$38/12</f>
        <v/>
      </c>
      <c r="E79" s="16">
        <f>MIN(Forutsetninger!$B$37*Forutsetninger!$B$14,Forutsetninger!$B$36)*Forutsetninger!$B$38/12</f>
        <v/>
      </c>
      <c r="F79" s="16">
        <f>MIN(Forutsetninger!$B$37*Forutsetninger!$B$14,Forutsetninger!$B$36)*Forutsetninger!$B$38/12</f>
        <v/>
      </c>
      <c r="G79" s="16">
        <f>MIN(Forutsetninger!$B$37*Forutsetninger!$B$14,Forutsetninger!$B$36)*Forutsetninger!$B$38/12</f>
        <v/>
      </c>
      <c r="H79" s="16">
        <f>MIN(Forutsetninger!$B$37*Forutsetninger!$B$14,Forutsetninger!$B$36)*Forutsetninger!$B$38/12</f>
        <v/>
      </c>
      <c r="I79" s="16">
        <f>MIN(Forutsetninger!$B$37*Forutsetninger!$B$14,Forutsetninger!$B$36)*Forutsetninger!$B$38/12</f>
        <v/>
      </c>
      <c r="J79" s="16">
        <f>MIN(Forutsetninger!$B$37*Forutsetninger!$B$14,Forutsetninger!$B$36)*Forutsetninger!$B$38/12</f>
        <v/>
      </c>
      <c r="K79" s="16">
        <f>MIN(Forutsetninger!$B$37*Forutsetninger!$B$14,Forutsetninger!$B$36)*Forutsetninger!$B$38/12</f>
        <v/>
      </c>
      <c r="L79" s="16">
        <f>MIN(Forutsetninger!$B$37*Forutsetninger!$B$14,Forutsetninger!$B$36)*Forutsetninger!$B$38/12</f>
        <v/>
      </c>
      <c r="M79" s="16">
        <f>MIN(Forutsetninger!$B$37*Forutsetninger!$B$14,Forutsetninger!$B$36)*Forutsetninger!$B$38/12</f>
        <v/>
      </c>
      <c r="N79" s="16">
        <f>MIN(Forutsetninger!$B$37*Forutsetninger!$B$14,Forutsetninger!$B$36)*Forutsetninger!$B$38/12</f>
        <v/>
      </c>
      <c r="O79" s="16">
        <f>MIN(Forutsetninger!$B$37*Forutsetninger!$B$14,Forutsetninger!$B$36)*Forutsetninger!$B$38/12</f>
        <v/>
      </c>
      <c r="P79" s="16">
        <f>MIN(Forutsetninger!$B$37*Forutsetninger!$B$14,Forutsetninger!$B$36)*Forutsetninger!$B$38/12</f>
        <v/>
      </c>
      <c r="Q79" s="16">
        <f>MIN(Forutsetninger!$B$37*Forutsetninger!$B$14,Forutsetninger!$B$36)*Forutsetninger!$B$38/12</f>
        <v/>
      </c>
      <c r="R79" s="16">
        <f>MIN(Forutsetninger!$B$37*Forutsetninger!$B$14,Forutsetninger!$B$36)*Forutsetninger!$B$38/12</f>
        <v/>
      </c>
      <c r="S79" s="16">
        <f>MIN(Forutsetninger!$B$37*Forutsetninger!$B$14,Forutsetninger!$B$36)*Forutsetninger!$B$38/12</f>
        <v/>
      </c>
      <c r="T79" s="16">
        <f>MIN(Forutsetninger!$B$37*Forutsetninger!$B$14,Forutsetninger!$B$36)*Forutsetninger!$B$38/12</f>
        <v/>
      </c>
      <c r="U79" s="16">
        <f>MIN(Forutsetninger!$B$37*Forutsetninger!$B$14,Forutsetninger!$B$36)*Forutsetninger!$B$38/12</f>
        <v/>
      </c>
      <c r="V79" s="16">
        <f>MIN(Forutsetninger!$B$37*Forutsetninger!$B$14,Forutsetninger!$B$36)*Forutsetninger!$B$38/12</f>
        <v/>
      </c>
      <c r="W79" s="16">
        <f>MIN(Forutsetninger!$B$37*Forutsetninger!$B$14,Forutsetninger!$B$36)*Forutsetninger!$B$38/12</f>
        <v/>
      </c>
      <c r="X79" s="16">
        <f>MIN(Forutsetninger!$B$37*Forutsetninger!$B$14,Forutsetninger!$B$36)*Forutsetninger!$B$38/12</f>
        <v/>
      </c>
      <c r="Y79" s="16">
        <f>MIN(Forutsetninger!$B$37*Forutsetninger!$B$14,Forutsetninger!$B$36)*Forutsetninger!$B$38/12</f>
        <v/>
      </c>
      <c r="Z79" s="8">
        <f>SUM(B79:M79)</f>
        <v/>
      </c>
      <c r="AA79" s="8">
        <f>SUM(N79:Y79)</f>
        <v/>
      </c>
    </row>
    <row r="80">
      <c r="A80" s="6" t="inlineStr">
        <is>
          <t>Kostbase (trinnvis) per måned</t>
        </is>
      </c>
      <c r="B80" s="16">
        <f>IF(1&lt;=12,$Z$80,$AA$80)/12</f>
        <v/>
      </c>
      <c r="C80" s="16">
        <f>IF(2&lt;=12,$Z$80,$AA$80)/12</f>
        <v/>
      </c>
      <c r="D80" s="16">
        <f>IF(3&lt;=12,$Z$80,$AA$80)/12</f>
        <v/>
      </c>
      <c r="E80" s="16">
        <f>IF(4&lt;=12,$Z$80,$AA$80)/12</f>
        <v/>
      </c>
      <c r="F80" s="16">
        <f>IF(5&lt;=12,$Z$80,$AA$80)/12</f>
        <v/>
      </c>
      <c r="G80" s="16">
        <f>IF(6&lt;=12,$Z$80,$AA$80)/12</f>
        <v/>
      </c>
      <c r="H80" s="16">
        <f>IF(7&lt;=12,$Z$80,$AA$80)/12</f>
        <v/>
      </c>
      <c r="I80" s="16">
        <f>IF(8&lt;=12,$Z$80,$AA$80)/12</f>
        <v/>
      </c>
      <c r="J80" s="16">
        <f>IF(9&lt;=12,$Z$80,$AA$80)/12</f>
        <v/>
      </c>
      <c r="K80" s="16">
        <f>IF(10&lt;=12,$Z$80,$AA$80)/12</f>
        <v/>
      </c>
      <c r="L80" s="16">
        <f>IF(11&lt;=12,$Z$80,$AA$80)/12</f>
        <v/>
      </c>
      <c r="M80" s="16">
        <f>IF(12&lt;=12,$Z$80,$AA$80)/12</f>
        <v/>
      </c>
      <c r="N80" s="16">
        <f>IF(13&lt;=12,$Z$80,$AA$80)/12</f>
        <v/>
      </c>
      <c r="O80" s="16">
        <f>IF(14&lt;=12,$Z$80,$AA$80)/12</f>
        <v/>
      </c>
      <c r="P80" s="16">
        <f>IF(15&lt;=12,$Z$80,$AA$80)/12</f>
        <v/>
      </c>
      <c r="Q80" s="16">
        <f>IF(16&lt;=12,$Z$80,$AA$80)/12</f>
        <v/>
      </c>
      <c r="R80" s="16">
        <f>IF(17&lt;=12,$Z$80,$AA$80)/12</f>
        <v/>
      </c>
      <c r="S80" s="16">
        <f>IF(18&lt;=12,$Z$80,$AA$80)/12</f>
        <v/>
      </c>
      <c r="T80" s="16">
        <f>IF(19&lt;=12,$Z$80,$AA$80)/12</f>
        <v/>
      </c>
      <c r="U80" s="16">
        <f>IF(20&lt;=12,$Z$80,$AA$80)/12</f>
        <v/>
      </c>
      <c r="V80" s="16">
        <f>IF(21&lt;=12,$Z$80,$AA$80)/12</f>
        <v/>
      </c>
      <c r="W80" s="16">
        <f>IF(22&lt;=12,$Z$80,$AA$80)/12</f>
        <v/>
      </c>
      <c r="X80" s="16">
        <f>IF(23&lt;=12,$Z$80,$AA$80)/12</f>
        <v/>
      </c>
      <c r="Y80" s="16">
        <f>IF(24&lt;=12,$Z$80,$AA$80)/12</f>
        <v/>
      </c>
      <c r="Z80" s="8">
        <f>Forutsetninger!$B$25+Forutsetninger!$B$26*MAX(0,Z63-2)+IF(Z63&gt;=5,Forutsetninger!$B$29,0)+IF(Z63&gt;=6,Forutsetninger!$B$28,0)+IF(Z63&gt;=8,Forutsetninger!$B$30,0)</f>
        <v/>
      </c>
      <c r="AA80" s="8">
        <f>Forutsetninger!$B$25+Forutsetninger!$B$26*MAX(0,AA63-2)+IF(AA63&gt;=5,Forutsetninger!$B$29,0)+IF(AA63&gt;=6,Forutsetninger!$B$28,0)+IF(AA63&gt;=8,Forutsetninger!$B$30,0)</f>
        <v/>
      </c>
    </row>
    <row r="81">
      <c r="A81" s="6" t="inlineStr">
        <is>
          <t>Onboarding nyansatt (engang)</t>
        </is>
      </c>
      <c r="B81" s="16">
        <f>SUMPRODUCT(($Z$54:$Z$61=1)*1)*Forutsetninger!$B$27</f>
        <v/>
      </c>
      <c r="C81" s="16">
        <f>SUMPRODUCT(($Z$54:$Z$61=2)*1)*Forutsetninger!$B$27</f>
        <v/>
      </c>
      <c r="D81" s="16">
        <f>SUMPRODUCT(($Z$54:$Z$61=3)*1)*Forutsetninger!$B$27</f>
        <v/>
      </c>
      <c r="E81" s="16">
        <f>SUMPRODUCT(($Z$54:$Z$61=4)*1)*Forutsetninger!$B$27</f>
        <v/>
      </c>
      <c r="F81" s="16">
        <f>SUMPRODUCT(($Z$54:$Z$61=5)*1)*Forutsetninger!$B$27</f>
        <v/>
      </c>
      <c r="G81" s="16">
        <f>SUMPRODUCT(($Z$54:$Z$61=6)*1)*Forutsetninger!$B$27</f>
        <v/>
      </c>
      <c r="H81" s="16">
        <f>SUMPRODUCT(($Z$54:$Z$61=7)*1)*Forutsetninger!$B$27</f>
        <v/>
      </c>
      <c r="I81" s="16">
        <f>SUMPRODUCT(($Z$54:$Z$61=8)*1)*Forutsetninger!$B$27</f>
        <v/>
      </c>
      <c r="J81" s="16">
        <f>SUMPRODUCT(($Z$54:$Z$61=9)*1)*Forutsetninger!$B$27</f>
        <v/>
      </c>
      <c r="K81" s="16">
        <f>SUMPRODUCT(($Z$54:$Z$61=10)*1)*Forutsetninger!$B$27</f>
        <v/>
      </c>
      <c r="L81" s="16">
        <f>SUMPRODUCT(($Z$54:$Z$61=11)*1)*Forutsetninger!$B$27</f>
        <v/>
      </c>
      <c r="M81" s="16">
        <f>SUMPRODUCT(($Z$54:$Z$61=12)*1)*Forutsetninger!$B$27</f>
        <v/>
      </c>
      <c r="N81" s="16">
        <f>SUMPRODUCT(($Z$54:$Z$61=13)*1)*Forutsetninger!$B$27</f>
        <v/>
      </c>
      <c r="O81" s="16">
        <f>SUMPRODUCT(($Z$54:$Z$61=14)*1)*Forutsetninger!$B$27</f>
        <v/>
      </c>
      <c r="P81" s="16">
        <f>SUMPRODUCT(($Z$54:$Z$61=15)*1)*Forutsetninger!$B$27</f>
        <v/>
      </c>
      <c r="Q81" s="16">
        <f>SUMPRODUCT(($Z$54:$Z$61=16)*1)*Forutsetninger!$B$27</f>
        <v/>
      </c>
      <c r="R81" s="16">
        <f>SUMPRODUCT(($Z$54:$Z$61=17)*1)*Forutsetninger!$B$27</f>
        <v/>
      </c>
      <c r="S81" s="16">
        <f>SUMPRODUCT(($Z$54:$Z$61=18)*1)*Forutsetninger!$B$27</f>
        <v/>
      </c>
      <c r="T81" s="16">
        <f>SUMPRODUCT(($Z$54:$Z$61=19)*1)*Forutsetninger!$B$27</f>
        <v/>
      </c>
      <c r="U81" s="16">
        <f>SUMPRODUCT(($Z$54:$Z$61=20)*1)*Forutsetninger!$B$27</f>
        <v/>
      </c>
      <c r="V81" s="16">
        <f>SUMPRODUCT(($Z$54:$Z$61=21)*1)*Forutsetninger!$B$27</f>
        <v/>
      </c>
      <c r="W81" s="16">
        <f>SUMPRODUCT(($Z$54:$Z$61=22)*1)*Forutsetninger!$B$27</f>
        <v/>
      </c>
      <c r="X81" s="16">
        <f>SUMPRODUCT(($Z$54:$Z$61=23)*1)*Forutsetninger!$B$27</f>
        <v/>
      </c>
      <c r="Y81" s="16">
        <f>SUMPRODUCT(($Z$54:$Z$61=24)*1)*Forutsetninger!$B$27</f>
        <v/>
      </c>
      <c r="Z81" s="8">
        <f>SUM(B81:M81)</f>
        <v/>
      </c>
      <c r="AA81" s="8">
        <f>SUM(N81:Y81)</f>
        <v/>
      </c>
    </row>
    <row r="82">
      <c r="A82" s="6" t="inlineStr">
        <is>
          <t>Markedskost (per signert oppdrag)</t>
        </is>
      </c>
      <c r="B82" s="16">
        <f>INDEX(B68:Y68,1,MIN(24,1+$B$33))/Forutsetninger!$B$5*Forutsetninger!$B$41*Forutsetninger!$B$31</f>
        <v/>
      </c>
      <c r="C82" s="16">
        <f>INDEX(B68:Y68,1,MIN(24,2+$B$33))/Forutsetninger!$B$5*Forutsetninger!$B$41*Forutsetninger!$B$31</f>
        <v/>
      </c>
      <c r="D82" s="16">
        <f>INDEX(B68:Y68,1,MIN(24,3+$B$33))/Forutsetninger!$B$5*Forutsetninger!$B$41*Forutsetninger!$B$31</f>
        <v/>
      </c>
      <c r="E82" s="16">
        <f>INDEX(B68:Y68,1,MIN(24,4+$B$33))/Forutsetninger!$B$5*Forutsetninger!$B$41*Forutsetninger!$B$31</f>
        <v/>
      </c>
      <c r="F82" s="16">
        <f>INDEX(B68:Y68,1,MIN(24,5+$B$33))/Forutsetninger!$B$5*Forutsetninger!$B$41*Forutsetninger!$B$31</f>
        <v/>
      </c>
      <c r="G82" s="16">
        <f>INDEX(B68:Y68,1,MIN(24,6+$B$33))/Forutsetninger!$B$5*Forutsetninger!$B$41*Forutsetninger!$B$31</f>
        <v/>
      </c>
      <c r="H82" s="16">
        <f>INDEX(B68:Y68,1,MIN(24,7+$B$33))/Forutsetninger!$B$5*Forutsetninger!$B$41*Forutsetninger!$B$31</f>
        <v/>
      </c>
      <c r="I82" s="16">
        <f>INDEX(B68:Y68,1,MIN(24,8+$B$33))/Forutsetninger!$B$5*Forutsetninger!$B$41*Forutsetninger!$B$31</f>
        <v/>
      </c>
      <c r="J82" s="16">
        <f>INDEX(B68:Y68,1,MIN(24,9+$B$33))/Forutsetninger!$B$5*Forutsetninger!$B$41*Forutsetninger!$B$31</f>
        <v/>
      </c>
      <c r="K82" s="16">
        <f>INDEX(B68:Y68,1,MIN(24,10+$B$33))/Forutsetninger!$B$5*Forutsetninger!$B$41*Forutsetninger!$B$31</f>
        <v/>
      </c>
      <c r="L82" s="16">
        <f>INDEX(B68:Y68,1,MIN(24,11+$B$33))/Forutsetninger!$B$5*Forutsetninger!$B$41*Forutsetninger!$B$31</f>
        <v/>
      </c>
      <c r="M82" s="16">
        <f>INDEX(B68:Y68,1,MIN(24,12+$B$33))/Forutsetninger!$B$5*Forutsetninger!$B$41*Forutsetninger!$B$31</f>
        <v/>
      </c>
      <c r="N82" s="16">
        <f>INDEX(B68:Y68,1,MIN(24,13+$B$33))/Forutsetninger!$B$5*Forutsetninger!$B$41*Forutsetninger!$B$31</f>
        <v/>
      </c>
      <c r="O82" s="16">
        <f>INDEX(B68:Y68,1,MIN(24,14+$B$33))/Forutsetninger!$B$5*Forutsetninger!$B$41*Forutsetninger!$B$31</f>
        <v/>
      </c>
      <c r="P82" s="16">
        <f>INDEX(B68:Y68,1,MIN(24,15+$B$33))/Forutsetninger!$B$5*Forutsetninger!$B$41*Forutsetninger!$B$31</f>
        <v/>
      </c>
      <c r="Q82" s="16">
        <f>INDEX(B68:Y68,1,MIN(24,16+$B$33))/Forutsetninger!$B$5*Forutsetninger!$B$41*Forutsetninger!$B$31</f>
        <v/>
      </c>
      <c r="R82" s="16">
        <f>INDEX(B68:Y68,1,MIN(24,17+$B$33))/Forutsetninger!$B$5*Forutsetninger!$B$41*Forutsetninger!$B$31</f>
        <v/>
      </c>
      <c r="S82" s="16">
        <f>INDEX(B68:Y68,1,MIN(24,18+$B$33))/Forutsetninger!$B$5*Forutsetninger!$B$41*Forutsetninger!$B$31</f>
        <v/>
      </c>
      <c r="T82" s="16">
        <f>INDEX(B68:Y68,1,MIN(24,19+$B$33))/Forutsetninger!$B$5*Forutsetninger!$B$41*Forutsetninger!$B$31</f>
        <v/>
      </c>
      <c r="U82" s="16">
        <f>INDEX(B68:Y68,1,MIN(24,20+$B$33))/Forutsetninger!$B$5*Forutsetninger!$B$41*Forutsetninger!$B$31</f>
        <v/>
      </c>
      <c r="V82" s="16">
        <f>INDEX(B68:Y68,1,MIN(24,21+$B$33))/Forutsetninger!$B$5*Forutsetninger!$B$41*Forutsetninger!$B$31</f>
        <v/>
      </c>
      <c r="W82" s="16">
        <f>INDEX(B68:Y68,1,MIN(24,22+$B$33))/Forutsetninger!$B$5*Forutsetninger!$B$41*Forutsetninger!$B$31</f>
        <v/>
      </c>
      <c r="X82" s="16">
        <f>INDEX(B68:Y68,1,MIN(24,23+$B$33))/Forutsetninger!$B$5*Forutsetninger!$B$41*Forutsetninger!$B$31</f>
        <v/>
      </c>
      <c r="Y82" s="16">
        <f>INDEX(B68:Y68,1,MIN(24,24+$B$33))/Forutsetninger!$B$5*Forutsetninger!$B$41*Forutsetninger!$B$31</f>
        <v/>
      </c>
      <c r="Z82" s="8">
        <f>SUM(B82:M82)</f>
        <v/>
      </c>
      <c r="AA82" s="8">
        <f>SUM(N82:Y82)</f>
        <v/>
      </c>
    </row>
    <row r="83">
      <c r="A83" s="51" t="inlineStr">
        <is>
          <t xml:space="preserve">  (memo) Netto mva påløpt (utg. på salg − inng. på kost)</t>
        </is>
      </c>
      <c r="B83" s="16">
        <f>$B$35*B68-$B$35*(B82+$B$36*B80)</f>
        <v/>
      </c>
      <c r="C83" s="16">
        <f>$B$35*C68-$B$35*(C82+$B$36*C80)</f>
        <v/>
      </c>
      <c r="D83" s="16">
        <f>$B$35*D68-$B$35*(D82+$B$36*D80)</f>
        <v/>
      </c>
      <c r="E83" s="16">
        <f>$B$35*E68-$B$35*(E82+$B$36*E80)</f>
        <v/>
      </c>
      <c r="F83" s="16">
        <f>$B$35*F68-$B$35*(F82+$B$36*F80)</f>
        <v/>
      </c>
      <c r="G83" s="16">
        <f>$B$35*G68-$B$35*(G82+$B$36*G80)</f>
        <v/>
      </c>
      <c r="H83" s="16">
        <f>$B$35*H68-$B$35*(H82+$B$36*H80)</f>
        <v/>
      </c>
      <c r="I83" s="16">
        <f>$B$35*I68-$B$35*(I82+$B$36*I80)</f>
        <v/>
      </c>
      <c r="J83" s="16">
        <f>$B$35*J68-$B$35*(J82+$B$36*J80)</f>
        <v/>
      </c>
      <c r="K83" s="16">
        <f>$B$35*K68-$B$35*(K82+$B$36*K80)</f>
        <v/>
      </c>
      <c r="L83" s="16">
        <f>$B$35*L68-$B$35*(L82+$B$36*L80)</f>
        <v/>
      </c>
      <c r="M83" s="16">
        <f>$B$35*M68-$B$35*(M82+$B$36*M80)</f>
        <v/>
      </c>
      <c r="N83" s="16">
        <f>$B$35*N68-$B$35*(N82+$B$36*N80)</f>
        <v/>
      </c>
      <c r="O83" s="16">
        <f>$B$35*O68-$B$35*(O82+$B$36*O80)</f>
        <v/>
      </c>
      <c r="P83" s="16">
        <f>$B$35*P68-$B$35*(P82+$B$36*P80)</f>
        <v/>
      </c>
      <c r="Q83" s="16">
        <f>$B$35*Q68-$B$35*(Q82+$B$36*Q80)</f>
        <v/>
      </c>
      <c r="R83" s="16">
        <f>$B$35*R68-$B$35*(R82+$B$36*R80)</f>
        <v/>
      </c>
      <c r="S83" s="16">
        <f>$B$35*S68-$B$35*(S82+$B$36*S80)</f>
        <v/>
      </c>
      <c r="T83" s="16">
        <f>$B$35*T68-$B$35*(T82+$B$36*T80)</f>
        <v/>
      </c>
      <c r="U83" s="16">
        <f>$B$35*U68-$B$35*(U82+$B$36*U80)</f>
        <v/>
      </c>
      <c r="V83" s="16">
        <f>$B$35*V68-$B$35*(V82+$B$36*V80)</f>
        <v/>
      </c>
      <c r="W83" s="16">
        <f>$B$35*W68-$B$35*(W82+$B$36*W80)</f>
        <v/>
      </c>
      <c r="X83" s="16">
        <f>$B$35*X68-$B$35*(X82+$B$36*X80)</f>
        <v/>
      </c>
      <c r="Y83" s="16">
        <f>$B$35*Y68-$B$35*(Y82+$B$36*Y80)</f>
        <v/>
      </c>
      <c r="Z83" s="8">
        <f>SUM(B83:M83)</f>
        <v/>
      </c>
      <c r="AA83" s="8">
        <f>SUM(N83:Y83)</f>
        <v/>
      </c>
    </row>
    <row r="84">
      <c r="A84" s="6" t="inlineStr">
        <is>
          <t>Mva-oppgjør (annenhver måned)</t>
        </is>
      </c>
      <c r="B84" s="16" t="n">
        <v>0</v>
      </c>
      <c r="C84" s="16" t="n">
        <v>0</v>
      </c>
      <c r="D84" s="16" t="n">
        <v>0</v>
      </c>
      <c r="E84" s="16">
        <f>B83+C83</f>
        <v/>
      </c>
      <c r="F84" s="16" t="n">
        <v>0</v>
      </c>
      <c r="G84" s="16">
        <f>D83+E83</f>
        <v/>
      </c>
      <c r="H84" s="16" t="n">
        <v>0</v>
      </c>
      <c r="I84" s="16">
        <f>F83+G83</f>
        <v/>
      </c>
      <c r="J84" s="16" t="n">
        <v>0</v>
      </c>
      <c r="K84" s="16">
        <f>H83+I83</f>
        <v/>
      </c>
      <c r="L84" s="16" t="n">
        <v>0</v>
      </c>
      <c r="M84" s="16">
        <f>J83+K83</f>
        <v/>
      </c>
      <c r="N84" s="16" t="n">
        <v>0</v>
      </c>
      <c r="O84" s="16">
        <f>L83+M83</f>
        <v/>
      </c>
      <c r="P84" s="16" t="n">
        <v>0</v>
      </c>
      <c r="Q84" s="16">
        <f>N83+O83</f>
        <v/>
      </c>
      <c r="R84" s="16" t="n">
        <v>0</v>
      </c>
      <c r="S84" s="16">
        <f>P83+Q83</f>
        <v/>
      </c>
      <c r="T84" s="16" t="n">
        <v>0</v>
      </c>
      <c r="U84" s="16">
        <f>R83+S83</f>
        <v/>
      </c>
      <c r="V84" s="16" t="n">
        <v>0</v>
      </c>
      <c r="W84" s="16">
        <f>T83+U83</f>
        <v/>
      </c>
      <c r="X84" s="16" t="n">
        <v>0</v>
      </c>
      <c r="Y84" s="16">
        <f>V83+W83</f>
        <v/>
      </c>
      <c r="Z84" s="8">
        <f>SUM(B84:M84)</f>
        <v/>
      </c>
      <c r="AA84" s="8">
        <f>SUM(N84:Y84)</f>
        <v/>
      </c>
    </row>
    <row r="85">
      <c r="A85" s="6" t="inlineStr">
        <is>
          <t>Restskatt 2026 (betales 15/2 + 15/4 2027)</t>
        </is>
      </c>
      <c r="B85" s="34" t="n">
        <v>0</v>
      </c>
      <c r="C85" s="40" t="inlineStr">
        <is>
          <t>PLASSHOLDER. Skatt 2025 (179k) er betalt. Forskuddsskatt 2026 forfaller feb+apr 2027.</t>
        </is>
      </c>
    </row>
    <row r="86">
      <c r="A86" s="6" t="inlineStr">
        <is>
          <t>Resultat-proxy 2027 (ex mva, for skatt 2028)</t>
        </is>
      </c>
      <c r="Z86" s="8">
        <f>Z68-Z78-Z79-Z82-Z80</f>
        <v/>
      </c>
    </row>
    <row r="87">
      <c r="A87" s="6" t="inlineStr">
        <is>
          <t>Selskapsskatt 2027 (22 % av positivt resultat)</t>
        </is>
      </c>
      <c r="B87" s="8">
        <f>0.22*MAX(0,Z86)</f>
        <v/>
      </c>
    </row>
    <row r="88">
      <c r="A88" s="6" t="inlineStr">
        <is>
          <t>Selskapsskatt (forskudd feb/apr)</t>
        </is>
      </c>
      <c r="B88" s="16" t="n">
        <v>0</v>
      </c>
      <c r="C88" s="16">
        <f>$B$85/2</f>
        <v/>
      </c>
      <c r="D88" s="16" t="n">
        <v>0</v>
      </c>
      <c r="E88" s="16">
        <f>$B$85/2</f>
        <v/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>
        <f>$B$87/2</f>
        <v/>
      </c>
      <c r="P88" s="16" t="n">
        <v>0</v>
      </c>
      <c r="Q88" s="16">
        <f>$B$87/2</f>
        <v/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8">
        <f>SUM(B88:M88)</f>
        <v/>
      </c>
      <c r="AA88" s="8">
        <f>SUM(N88:Y88)</f>
        <v/>
      </c>
    </row>
    <row r="89">
      <c r="A89" s="2" t="inlineStr">
        <is>
          <t>Kjente engangsposter — beløp (GUL) og måned 1–24 (GUL)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>
      <c r="A90" s="6" t="inlineStr">
        <is>
          <t>Besluttet utbytte (rest)</t>
        </is>
      </c>
      <c r="B90" s="34" t="n">
        <v>850000</v>
      </c>
      <c r="C90" s="41" t="n">
        <v>9</v>
      </c>
      <c r="D90" s="40" t="inlineStr">
        <is>
          <t>850k besluttet, 0 utbetalt (Sindre 28.08). Timing valgfri — H2-oppgjør anbefalt. Mnd 9 = sep 2027.</t>
        </is>
      </c>
    </row>
    <row r="91">
      <c r="A91" s="6" t="inlineStr">
        <is>
          <t>Motfakturering Oslo Båt / krympeplast (netto)</t>
        </is>
      </c>
      <c r="B91" s="34" t="n">
        <v>125000</v>
      </c>
      <c r="C91" s="41" t="n">
        <v>11</v>
      </c>
      <c r="D91" s="40" t="inlineStr">
        <is>
          <t>Sindre: ~100–150k motfaktureres. Netto anslag 125k. Juster.</t>
        </is>
      </c>
    </row>
    <row r="92">
      <c r="A92" s="6" t="inlineStr">
        <is>
          <t>Underleverandør</t>
        </is>
      </c>
      <c r="B92" s="34" t="n">
        <v>50000</v>
      </c>
      <c r="C92" s="41" t="n">
        <v>10</v>
      </c>
      <c r="D92" s="40" t="inlineStr">
        <is>
          <t>Sindre: ~50k.</t>
        </is>
      </c>
    </row>
    <row r="93">
      <c r="A93" s="6" t="inlineStr">
        <is>
          <t>(ledig)</t>
        </is>
      </c>
      <c r="B93" s="34" t="n"/>
      <c r="C93" s="41" t="n"/>
    </row>
    <row r="94">
      <c r="A94" s="6" t="inlineStr">
        <is>
          <t>(ledig)</t>
        </is>
      </c>
      <c r="B94" s="34" t="n"/>
      <c r="C94" s="41" t="n"/>
    </row>
    <row r="95">
      <c r="A95" s="12" t="inlineStr">
        <is>
          <t>Sum engangsposter</t>
        </is>
      </c>
      <c r="B95" s="8">
        <f>SUMPRODUCT(($C$90:$C$94=1)*N($B$90:$B$94))</f>
        <v/>
      </c>
      <c r="C95" s="8">
        <f>SUMPRODUCT(($C$90:$C$94=2)*N($B$90:$B$94))</f>
        <v/>
      </c>
      <c r="D95" s="8">
        <f>SUMPRODUCT(($C$90:$C$94=3)*N($B$90:$B$94))</f>
        <v/>
      </c>
      <c r="E95" s="8">
        <f>SUMPRODUCT(($C$90:$C$94=4)*N($B$90:$B$94))</f>
        <v/>
      </c>
      <c r="F95" s="8">
        <f>SUMPRODUCT(($C$90:$C$94=5)*N($B$90:$B$94))</f>
        <v/>
      </c>
      <c r="G95" s="8">
        <f>SUMPRODUCT(($C$90:$C$94=6)*N($B$90:$B$94))</f>
        <v/>
      </c>
      <c r="H95" s="8">
        <f>SUMPRODUCT(($C$90:$C$94=7)*N($B$90:$B$94))</f>
        <v/>
      </c>
      <c r="I95" s="8">
        <f>SUMPRODUCT(($C$90:$C$94=8)*N($B$90:$B$94))</f>
        <v/>
      </c>
      <c r="J95" s="8">
        <f>SUMPRODUCT(($C$90:$C$94=9)*N($B$90:$B$94))</f>
        <v/>
      </c>
      <c r="K95" s="8">
        <f>SUMPRODUCT(($C$90:$C$94=10)*N($B$90:$B$94))</f>
        <v/>
      </c>
      <c r="L95" s="8">
        <f>SUMPRODUCT(($C$90:$C$94=11)*N($B$90:$B$94))</f>
        <v/>
      </c>
      <c r="M95" s="8">
        <f>SUMPRODUCT(($C$90:$C$94=12)*N($B$90:$B$94))</f>
        <v/>
      </c>
      <c r="N95" s="8">
        <f>SUMPRODUCT(($C$90:$C$94=13)*N($B$90:$B$94))</f>
        <v/>
      </c>
      <c r="O95" s="8">
        <f>SUMPRODUCT(($C$90:$C$94=14)*N($B$90:$B$94))</f>
        <v/>
      </c>
      <c r="P95" s="8">
        <f>SUMPRODUCT(($C$90:$C$94=15)*N($B$90:$B$94))</f>
        <v/>
      </c>
      <c r="Q95" s="8">
        <f>SUMPRODUCT(($C$90:$C$94=16)*N($B$90:$B$94))</f>
        <v/>
      </c>
      <c r="R95" s="8">
        <f>SUMPRODUCT(($C$90:$C$94=17)*N($B$90:$B$94))</f>
        <v/>
      </c>
      <c r="S95" s="8">
        <f>SUMPRODUCT(($C$90:$C$94=18)*N($B$90:$B$94))</f>
        <v/>
      </c>
      <c r="T95" s="8">
        <f>SUMPRODUCT(($C$90:$C$94=19)*N($B$90:$B$94))</f>
        <v/>
      </c>
      <c r="U95" s="8">
        <f>SUMPRODUCT(($C$90:$C$94=20)*N($B$90:$B$94))</f>
        <v/>
      </c>
      <c r="V95" s="8">
        <f>SUMPRODUCT(($C$90:$C$94=21)*N($B$90:$B$94))</f>
        <v/>
      </c>
      <c r="W95" s="8">
        <f>SUMPRODUCT(($C$90:$C$94=22)*N($B$90:$B$94))</f>
        <v/>
      </c>
      <c r="X95" s="8">
        <f>SUMPRODUCT(($C$90:$C$94=23)*N($B$90:$B$94))</f>
        <v/>
      </c>
      <c r="Y95" s="8">
        <f>SUMPRODUCT(($C$90:$C$94=24)*N($B$90:$B$94))</f>
        <v/>
      </c>
      <c r="Z95" s="8">
        <f>SUM(B95:M95)</f>
        <v/>
      </c>
      <c r="AA95" s="8">
        <f>SUM(N95:Y95)</f>
        <v/>
      </c>
    </row>
    <row r="97">
      <c r="A97" s="37" t="inlineStr">
        <is>
          <t>H. NETTO KONTANTSTRØM OG SALDO</t>
        </is>
      </c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</row>
    <row r="98">
      <c r="A98" s="12" t="inlineStr">
        <is>
          <t>SUM INNBETALINGER</t>
        </is>
      </c>
      <c r="B98" s="8">
        <f>B74</f>
        <v/>
      </c>
      <c r="C98" s="8">
        <f>C74</f>
        <v/>
      </c>
      <c r="D98" s="8">
        <f>D74</f>
        <v/>
      </c>
      <c r="E98" s="8">
        <f>E74</f>
        <v/>
      </c>
      <c r="F98" s="8">
        <f>F74</f>
        <v/>
      </c>
      <c r="G98" s="8">
        <f>G74</f>
        <v/>
      </c>
      <c r="H98" s="8">
        <f>H74</f>
        <v/>
      </c>
      <c r="I98" s="8">
        <f>I74</f>
        <v/>
      </c>
      <c r="J98" s="8">
        <f>J74</f>
        <v/>
      </c>
      <c r="K98" s="8">
        <f>K74</f>
        <v/>
      </c>
      <c r="L98" s="8">
        <f>L74</f>
        <v/>
      </c>
      <c r="M98" s="8">
        <f>M74</f>
        <v/>
      </c>
      <c r="N98" s="8">
        <f>N74</f>
        <v/>
      </c>
      <c r="O98" s="8">
        <f>O74</f>
        <v/>
      </c>
      <c r="P98" s="8">
        <f>P74</f>
        <v/>
      </c>
      <c r="Q98" s="8">
        <f>Q74</f>
        <v/>
      </c>
      <c r="R98" s="8">
        <f>R74</f>
        <v/>
      </c>
      <c r="S98" s="8">
        <f>S74</f>
        <v/>
      </c>
      <c r="T98" s="8">
        <f>T74</f>
        <v/>
      </c>
      <c r="U98" s="8">
        <f>U74</f>
        <v/>
      </c>
      <c r="V98" s="8">
        <f>V74</f>
        <v/>
      </c>
      <c r="W98" s="8">
        <f>W74</f>
        <v/>
      </c>
      <c r="X98" s="8">
        <f>X74</f>
        <v/>
      </c>
      <c r="Y98" s="8">
        <f>Y74</f>
        <v/>
      </c>
      <c r="Z98" s="8">
        <f>SUM(B98:M98)</f>
        <v/>
      </c>
      <c r="AA98" s="8">
        <f>SUM(N98:Y98)</f>
        <v/>
      </c>
    </row>
    <row r="99">
      <c r="A99" s="12" t="inlineStr">
        <is>
          <t>SUM UTBETALINGER</t>
        </is>
      </c>
      <c r="B99" s="8">
        <f>B78+B79+B80+B81+B82+B84+B88+B95</f>
        <v/>
      </c>
      <c r="C99" s="8">
        <f>C78+C79+C80+C81+C82+C84+C88+C95</f>
        <v/>
      </c>
      <c r="D99" s="8">
        <f>D78+D79+D80+D81+D82+D84+D88+D95</f>
        <v/>
      </c>
      <c r="E99" s="8">
        <f>E78+E79+E80+E81+E82+E84+E88+E95</f>
        <v/>
      </c>
      <c r="F99" s="8">
        <f>F78+F79+F80+F81+F82+F84+F88+F95</f>
        <v/>
      </c>
      <c r="G99" s="8">
        <f>G78+G79+G80+G81+G82+G84+G88+G95</f>
        <v/>
      </c>
      <c r="H99" s="8">
        <f>H78+H79+H80+H81+H82+H84+H88+H95</f>
        <v/>
      </c>
      <c r="I99" s="8">
        <f>I78+I79+I80+I81+I82+I84+I88+I95</f>
        <v/>
      </c>
      <c r="J99" s="8">
        <f>J78+J79+J80+J81+J82+J84+J88+J95</f>
        <v/>
      </c>
      <c r="K99" s="8">
        <f>K78+K79+K80+K81+K82+K84+K88+K95</f>
        <v/>
      </c>
      <c r="L99" s="8">
        <f>L78+L79+L80+L81+L82+L84+L88+L95</f>
        <v/>
      </c>
      <c r="M99" s="8">
        <f>M78+M79+M80+M81+M82+M84+M88+M95</f>
        <v/>
      </c>
      <c r="N99" s="8">
        <f>N78+N79+N80+N81+N82+N84+N88+N95</f>
        <v/>
      </c>
      <c r="O99" s="8">
        <f>O78+O79+O80+O81+O82+O84+O88+O95</f>
        <v/>
      </c>
      <c r="P99" s="8">
        <f>P78+P79+P80+P81+P82+P84+P88+P95</f>
        <v/>
      </c>
      <c r="Q99" s="8">
        <f>Q78+Q79+Q80+Q81+Q82+Q84+Q88+Q95</f>
        <v/>
      </c>
      <c r="R99" s="8">
        <f>R78+R79+R80+R81+R82+R84+R88+R95</f>
        <v/>
      </c>
      <c r="S99" s="8">
        <f>S78+S79+S80+S81+S82+S84+S88+S95</f>
        <v/>
      </c>
      <c r="T99" s="8">
        <f>T78+T79+T80+T81+T82+T84+T88+T95</f>
        <v/>
      </c>
      <c r="U99" s="8">
        <f>U78+U79+U80+U81+U82+U84+U88+U95</f>
        <v/>
      </c>
      <c r="V99" s="8">
        <f>V78+V79+V80+V81+V82+V84+V88+V95</f>
        <v/>
      </c>
      <c r="W99" s="8">
        <f>W78+W79+W80+W81+W82+W84+W88+W95</f>
        <v/>
      </c>
      <c r="X99" s="8">
        <f>X78+X79+X80+X81+X82+X84+X88+X95</f>
        <v/>
      </c>
      <c r="Y99" s="8">
        <f>Y78+Y79+Y80+Y81+Y82+Y84+Y88+Y95</f>
        <v/>
      </c>
      <c r="Z99" s="8">
        <f>SUM(B99:M99)</f>
        <v/>
      </c>
      <c r="AA99" s="8">
        <f>SUM(N99:Y99)</f>
        <v/>
      </c>
    </row>
    <row r="100">
      <c r="A100" s="12" t="inlineStr">
        <is>
          <t>NETTO KONTANTSTRØM</t>
        </is>
      </c>
      <c r="B100" s="8">
        <f>B98-B99</f>
        <v/>
      </c>
      <c r="C100" s="8">
        <f>C98-C99</f>
        <v/>
      </c>
      <c r="D100" s="8">
        <f>D98-D99</f>
        <v/>
      </c>
      <c r="E100" s="8">
        <f>E98-E99</f>
        <v/>
      </c>
      <c r="F100" s="8">
        <f>F98-F99</f>
        <v/>
      </c>
      <c r="G100" s="8">
        <f>G98-G99</f>
        <v/>
      </c>
      <c r="H100" s="8">
        <f>H98-H99</f>
        <v/>
      </c>
      <c r="I100" s="8">
        <f>I98-I99</f>
        <v/>
      </c>
      <c r="J100" s="8">
        <f>J98-J99</f>
        <v/>
      </c>
      <c r="K100" s="8">
        <f>K98-K99</f>
        <v/>
      </c>
      <c r="L100" s="8">
        <f>L98-L99</f>
        <v/>
      </c>
      <c r="M100" s="8">
        <f>M98-M99</f>
        <v/>
      </c>
      <c r="N100" s="8">
        <f>N98-N99</f>
        <v/>
      </c>
      <c r="O100" s="8">
        <f>O98-O99</f>
        <v/>
      </c>
      <c r="P100" s="8">
        <f>P98-P99</f>
        <v/>
      </c>
      <c r="Q100" s="8">
        <f>Q98-Q99</f>
        <v/>
      </c>
      <c r="R100" s="8">
        <f>R98-R99</f>
        <v/>
      </c>
      <c r="S100" s="8">
        <f>S98-S99</f>
        <v/>
      </c>
      <c r="T100" s="8">
        <f>T98-T99</f>
        <v/>
      </c>
      <c r="U100" s="8">
        <f>U98-U99</f>
        <v/>
      </c>
      <c r="V100" s="8">
        <f>V98-V99</f>
        <v/>
      </c>
      <c r="W100" s="8">
        <f>W98-W99</f>
        <v/>
      </c>
      <c r="X100" s="8">
        <f>X98-X99</f>
        <v/>
      </c>
      <c r="Y100" s="8">
        <f>Y98-Y99</f>
        <v/>
      </c>
      <c r="Z100" s="8">
        <f>SUM(B100:M100)</f>
        <v/>
      </c>
      <c r="AA100" s="8">
        <f>SUM(N100:Y100)</f>
        <v/>
      </c>
    </row>
    <row r="101">
      <c r="A101" s="6" t="inlineStr">
        <is>
          <t>Inngående saldo</t>
        </is>
      </c>
      <c r="B101" s="16">
        <f>$B$28</f>
        <v/>
      </c>
      <c r="C101" s="16">
        <f>B102</f>
        <v/>
      </c>
      <c r="D101" s="16">
        <f>C102</f>
        <v/>
      </c>
      <c r="E101" s="16">
        <f>D102</f>
        <v/>
      </c>
      <c r="F101" s="16">
        <f>E102</f>
        <v/>
      </c>
      <c r="G101" s="16">
        <f>F102</f>
        <v/>
      </c>
      <c r="H101" s="16">
        <f>G102</f>
        <v/>
      </c>
      <c r="I101" s="16">
        <f>H102</f>
        <v/>
      </c>
      <c r="J101" s="16">
        <f>I102</f>
        <v/>
      </c>
      <c r="K101" s="16">
        <f>J102</f>
        <v/>
      </c>
      <c r="L101" s="16">
        <f>K102</f>
        <v/>
      </c>
      <c r="M101" s="16">
        <f>L102</f>
        <v/>
      </c>
      <c r="N101" s="16">
        <f>M102</f>
        <v/>
      </c>
      <c r="O101" s="16">
        <f>N102</f>
        <v/>
      </c>
      <c r="P101" s="16">
        <f>O102</f>
        <v/>
      </c>
      <c r="Q101" s="16">
        <f>P102</f>
        <v/>
      </c>
      <c r="R101" s="16">
        <f>Q102</f>
        <v/>
      </c>
      <c r="S101" s="16">
        <f>R102</f>
        <v/>
      </c>
      <c r="T101" s="16">
        <f>S102</f>
        <v/>
      </c>
      <c r="U101" s="16">
        <f>T102</f>
        <v/>
      </c>
      <c r="V101" s="16">
        <f>U102</f>
        <v/>
      </c>
      <c r="W101" s="16">
        <f>V102</f>
        <v/>
      </c>
      <c r="X101" s="16">
        <f>W102</f>
        <v/>
      </c>
      <c r="Y101" s="16">
        <f>X102</f>
        <v/>
      </c>
    </row>
    <row r="102">
      <c r="A102" s="12" t="inlineStr">
        <is>
          <t>UTGÅENDE SALDO (kontantbeholdning)</t>
        </is>
      </c>
      <c r="B102" s="8">
        <f>B101+B100</f>
        <v/>
      </c>
      <c r="C102" s="8">
        <f>C101+C100</f>
        <v/>
      </c>
      <c r="D102" s="8">
        <f>D101+D100</f>
        <v/>
      </c>
      <c r="E102" s="8">
        <f>E101+E100</f>
        <v/>
      </c>
      <c r="F102" s="8">
        <f>F101+F100</f>
        <v/>
      </c>
      <c r="G102" s="8">
        <f>G101+G100</f>
        <v/>
      </c>
      <c r="H102" s="8">
        <f>H101+H100</f>
        <v/>
      </c>
      <c r="I102" s="8">
        <f>I101+I100</f>
        <v/>
      </c>
      <c r="J102" s="8">
        <f>J101+J100</f>
        <v/>
      </c>
      <c r="K102" s="8">
        <f>K101+K100</f>
        <v/>
      </c>
      <c r="L102" s="8">
        <f>L101+L100</f>
        <v/>
      </c>
      <c r="M102" s="8">
        <f>M101+M100</f>
        <v/>
      </c>
      <c r="N102" s="8">
        <f>N101+N100</f>
        <v/>
      </c>
      <c r="O102" s="8">
        <f>O101+O100</f>
        <v/>
      </c>
      <c r="P102" s="8">
        <f>P101+P100</f>
        <v/>
      </c>
      <c r="Q102" s="8">
        <f>Q101+Q100</f>
        <v/>
      </c>
      <c r="R102" s="8">
        <f>R101+R100</f>
        <v/>
      </c>
      <c r="S102" s="8">
        <f>S101+S100</f>
        <v/>
      </c>
      <c r="T102" s="8">
        <f>T101+T100</f>
        <v/>
      </c>
      <c r="U102" s="8">
        <f>U101+U100</f>
        <v/>
      </c>
      <c r="V102" s="8">
        <f>V101+V100</f>
        <v/>
      </c>
      <c r="W102" s="8">
        <f>W101+W100</f>
        <v/>
      </c>
      <c r="X102" s="8">
        <f>X101+X100</f>
        <v/>
      </c>
      <c r="Y102" s="8">
        <f>Y101+Y100</f>
        <v/>
      </c>
      <c r="AA102" s="8">
        <f>Y102</f>
        <v/>
      </c>
    </row>
    <row r="103">
      <c r="A103" s="6" t="inlineStr">
        <is>
          <t>Margin mot minimumsbuffer</t>
        </is>
      </c>
      <c r="B103" s="16">
        <f>B102-$B$29</f>
        <v/>
      </c>
      <c r="C103" s="16">
        <f>C102-$B$29</f>
        <v/>
      </c>
      <c r="D103" s="16">
        <f>D102-$B$29</f>
        <v/>
      </c>
      <c r="E103" s="16">
        <f>E102-$B$29</f>
        <v/>
      </c>
      <c r="F103" s="16">
        <f>F102-$B$29</f>
        <v/>
      </c>
      <c r="G103" s="16">
        <f>G102-$B$29</f>
        <v/>
      </c>
      <c r="H103" s="16">
        <f>H102-$B$29</f>
        <v/>
      </c>
      <c r="I103" s="16">
        <f>I102-$B$29</f>
        <v/>
      </c>
      <c r="J103" s="16">
        <f>J102-$B$29</f>
        <v/>
      </c>
      <c r="K103" s="16">
        <f>K102-$B$29</f>
        <v/>
      </c>
      <c r="L103" s="16">
        <f>L102-$B$29</f>
        <v/>
      </c>
      <c r="M103" s="16">
        <f>M102-$B$29</f>
        <v/>
      </c>
      <c r="N103" s="16">
        <f>N102-$B$29</f>
        <v/>
      </c>
      <c r="O103" s="16">
        <f>O102-$B$29</f>
        <v/>
      </c>
      <c r="P103" s="16">
        <f>P102-$B$29</f>
        <v/>
      </c>
      <c r="Q103" s="16">
        <f>Q102-$B$29</f>
        <v/>
      </c>
      <c r="R103" s="16">
        <f>R102-$B$29</f>
        <v/>
      </c>
      <c r="S103" s="16">
        <f>S102-$B$29</f>
        <v/>
      </c>
      <c r="T103" s="16">
        <f>T102-$B$29</f>
        <v/>
      </c>
      <c r="U103" s="16">
        <f>U102-$B$29</f>
        <v/>
      </c>
      <c r="V103" s="16">
        <f>V102-$B$29</f>
        <v/>
      </c>
      <c r="W103" s="16">
        <f>W102-$B$29</f>
        <v/>
      </c>
      <c r="X103" s="16">
        <f>X102-$B$29</f>
        <v/>
      </c>
      <c r="Y103" s="16">
        <f>Y102-$B$29</f>
        <v/>
      </c>
    </row>
    <row r="105">
      <c r="A105" s="4" t="inlineStr">
        <is>
          <t>Kontroll: UB des 2028 − (åpning + sum netto)</t>
        </is>
      </c>
      <c r="B105" s="52">
        <f>Y102-($B$28+SUM(B100:Y100))</f>
        <v/>
      </c>
      <c r="C105" s="4" t="inlineStr">
        <is>
          <t>skal være 0</t>
        </is>
      </c>
    </row>
    <row r="107">
      <c r="A107" s="37" t="inlineStr">
        <is>
          <t>SLIK LESER DU ARKET</t>
        </is>
      </c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</row>
    <row r="108" ht="26" customHeight="1">
      <c r="A108" s="40" t="inlineStr">
        <is>
          <t>Motoren er den samme som ellers i boka: bemanning (D) → kapasitet → omsetning bokført (E). Det nye er TIMING — når pengene faktisk kommer inn (F) og går ut (G), måned for måned.</t>
        </is>
      </c>
    </row>
    <row r="109" ht="26" customHeight="1">
      <c r="A109" s="40" t="inlineStr">
        <is>
          <t>LAVESTE KONTANTSALDO (øverst) er poenget: det dypeste punktet på UTGÅENDE SALDO-raden. Faller den under bufferen, lyser margin-raden negativt — da trengs tiltak FØR den måneden (tregere ansettelse, utsatt utbytte, kassekreditt).</t>
        </is>
      </c>
    </row>
    <row r="110" ht="39" customHeight="1">
      <c r="A110" s="40" t="inlineStr">
        <is>
          <t>CASH-LAG: provisjonen tas ved OPPGJØR (senest 3 dg etter overtakelse). Fakturadato brukes som operativ cash-proxy (median 14d fra salg). Konservativt: bruk Plan (P75, 32d). Salgstid 89 dg (signert→solgt) er noe HELT ANNET — ikke bland dem.</t>
        </is>
      </c>
    </row>
    <row r="111" ht="26" customHeight="1">
      <c r="A111" s="40" t="inlineStr">
        <is>
          <t>PRØV SPAKENE: cash-lag scenario 1/2/3 (Base/Plan/Stress); flytt utbyttemåneden; utsett en ansettelse (endre oppstartsmåned i D). Alt regner seg om.</t>
        </is>
      </c>
    </row>
    <row r="112" ht="26" customHeight="1">
      <c r="A112" s="40" t="inlineStr">
        <is>
          <t>PLASSHOLDERE å fylle når kjent: bro sep–des 2026, overheng okt–des 2026, restskatt 2026, mva-andel av kostbase, engangsposter, og faktisk bankdato i deal-for-deal-registeret. Alt er gult.</t>
        </is>
      </c>
    </row>
    <row r="114">
      <c r="A114" s="37" t="inlineStr">
        <is>
          <t>ANSETTELSESGATE Q1 2027 — ansett kun hvis ALLE fire er oppfylt innen 15.12.2026 (rådgiver)</t>
        </is>
      </c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</row>
    <row r="115" ht="15" customHeight="1">
      <c r="A115" s="40" t="inlineStr">
        <is>
          <t>1. Utbyttet (850k) er FORMELT utsatt.</t>
        </is>
      </c>
    </row>
    <row r="116" ht="15" customHeight="1">
      <c r="A116" s="40" t="inlineStr">
        <is>
          <t>2. Faktisk bankdato er avstemt for alle tilgjengelige oppgjør (deal-for-deal-registeret) — særlig de store.</t>
        </is>
      </c>
    </row>
    <row r="117" ht="26" customHeight="1">
      <c r="A117" s="40" t="inlineStr">
        <is>
          <t>3. Plan-scenarioet (P75) viser minst 500k kontantbuffer ETTER ansettelsen — ELLER styret godkjenner eksplisitt 300k som midlertidig gulv.</t>
        </is>
      </c>
    </row>
    <row r="118" ht="15" customHeight="1">
      <c r="A118" s="40" t="inlineStr">
        <is>
          <t>4. Kandidaten har signert, og forventet startdato gjør at rampen faktisk passer inn i modellen.</t>
        </is>
      </c>
    </row>
    <row r="119" ht="26" customHeight="1">
      <c r="A119" s="40" t="inlineStr">
        <is>
          <t>Sekvensering, ikke bremsing: bevis ÉN stol først, så skaler. Full ramp krever definert finansiering 1,3–2,6M (Base→Stress) + margin — ikke før.</t>
        </is>
      </c>
    </row>
    <row r="120" ht="26" customHeight="1">
      <c r="A120" s="40" t="inlineStr">
        <is>
          <t>BUFFERREGEL (din beslutning): 500k som normalregel, 300k kun som styregodkjent unntak. Sett verdien i «Minimumsbuffer» (blokk A). Hold regelen fast — ikke juster risikoen hver gang dere får lyst til å vokse.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95" customWidth="1" min="3" max="3"/>
  </cols>
  <sheetData>
    <row r="1">
      <c r="A1" s="1" t="inlineStr">
        <is>
          <t>FORUTSETNINGER — én datadefinisjon per KPI</t>
        </is>
      </c>
    </row>
    <row r="2">
      <c r="A2" s="4" t="inlineStr">
        <is>
          <t>Gule celler = juster fritt (alt rekalkulerer). FASIT = oppgjørslistene («lønn solgte båter»), ikke HubSpot. Oppdatert 26.08.2026.</t>
        </is>
      </c>
    </row>
    <row r="4">
      <c r="A4" s="37" t="inlineStr">
        <is>
          <t>FASIT SALG — kilde: oppgjørslister 2025+2026, solgt-dato 27.08.2025–26.08.2026, EX CHARTER</t>
        </is>
      </c>
      <c r="B4" s="38" t="n"/>
      <c r="C4" s="38" t="n"/>
    </row>
    <row r="5">
      <c r="A5" s="6" t="inlineStr">
        <is>
          <t>Inntekt per solgt båt, ex mva (MOTOR-INPUT)</t>
        </is>
      </c>
      <c r="B5" s="34" t="n">
        <v>58375</v>
      </c>
      <c r="C5" s="40" t="inlineStr">
        <is>
          <t>DEF: sum omsetning ex mva 4 378 153 / 75 båtsalg i oppgjørslistene siste 12 mnd. Median 50 400. Alle 75 har beløp (fasit — ikke HubSpot-amount, som manglet 4 deals og ga 64 100). Charter (170k) holdt HELT utenfor.</t>
        </is>
      </c>
    </row>
    <row r="6">
      <c r="A6" s="6" t="inlineStr">
        <is>
          <t>Snittbåtverdi (salgssum) — informativ</t>
        </is>
      </c>
      <c r="B6" s="16" t="n">
        <v>1260458</v>
      </c>
      <c r="C6" s="40" t="inlineStr">
        <is>
          <t>DEF: snitt salgssum i oppgjørslistene, 75/75 deals. Median 1 065 000. Brukes IKKE i motoren.</t>
        </is>
      </c>
    </row>
    <row r="7">
      <c r="A7" s="6" t="inlineStr">
        <is>
          <t>Provisjonsgrad 1: standard avtalt</t>
        </is>
      </c>
      <c r="B7" s="53" t="n">
        <v>0.06</v>
      </c>
      <c r="C7" s="40" t="inlineStr">
        <is>
          <t>DEF: 6,00 % av salgssum INKL mva, min. 45 000 inkl mva (= 36 000 ex). Kontraktsstandard.</t>
        </is>
      </c>
    </row>
    <row r="8">
      <c r="A8" s="6" t="inlineStr">
        <is>
          <t>Provisjonsgrad 2: målt effektiv (fasit, alle 75)</t>
        </is>
      </c>
      <c r="B8" s="53" t="n">
        <v>0.0579</v>
      </c>
      <c r="C8" s="40" t="inlineStr">
        <is>
          <t>DEF: sum(oms ex mva × 1,25) / sum(salgssum) = 5,79 % inkl mva (4,63 % ex). Teller og nevner er nå SAMME utvalg (75/75) — kontrolltallet fra v2 er dermed identisk og trengs ikke lenger. Gap til 6 % = rabatter/min.honorar.</t>
        </is>
      </c>
    </row>
    <row r="9">
      <c r="A9" s="6" t="inlineStr">
        <is>
          <t>Charter — holdes utenfor motoren</t>
        </is>
      </c>
      <c r="B9" s="16" t="n">
        <v>170000</v>
      </c>
      <c r="C9" s="40" t="inlineStr">
        <is>
          <t>1 charteroppdrag siste 12 mnd (AD Astra, 170 000 ex mva). Egen produksjonsenhet; regnes IKKE i inntekt per båt, båter/år eller stol-kapasitet.</t>
        </is>
      </c>
    </row>
    <row r="11">
      <c r="A11" s="37" t="inlineStr">
        <is>
          <t>STOL-DEFINISJONER OG KAPASITET</t>
        </is>
      </c>
      <c r="B11" s="38" t="n"/>
      <c r="C11" s="38" t="n"/>
    </row>
    <row r="12">
      <c r="A12" s="6" t="inlineStr">
        <is>
          <t>DEF «stol»</t>
        </is>
      </c>
      <c r="C12" s="40" t="inlineStr">
        <is>
          <t>Én fullt produktiv megler ETTER ramp (6–9 mnd). Sindre er ALLTID egen stol utenom. «Producing FTE» = effektiv produksjonskapasitet i året (ramp-vektet, desimal). «Bemannet» = personer på lønn. Buffer-stol = planlagt tom (rekrutteringspipeline).</t>
        </is>
      </c>
    </row>
    <row r="13">
      <c r="A13" s="6" t="inlineStr">
        <is>
          <t>Omsetning per producing megler-stol (plantall)</t>
        </is>
      </c>
      <c r="B13" s="34" t="n">
        <v>1500000</v>
      </c>
      <c r="C13" s="40" t="inlineStr">
        <is>
          <t>PRODUKSJONSMÅL for rampet stol. Fasit siste 12 mnd KREDITERT (50/50 v/samarbeid — det lønna følger): Henrik 1 838 820, Sindre 1 491 253, Daniel 882 480. Solgt av: Henrik 2 007 420 (35 båter) — han lukker også andres oppdrag.</t>
        </is>
      </c>
    </row>
    <row r="14">
      <c r="A14" s="6" t="inlineStr">
        <is>
          <t>Sindre-stolens omsetning per år (plantall)</t>
        </is>
      </c>
      <c r="B14" s="34" t="n">
        <v>2300000</v>
      </c>
      <c r="C14" s="40" t="inlineStr">
        <is>
          <t>CFO-anbefalt mål ~2,28M. Fasit siste 12 mnd kreditert: 1 491 253 (2025: 2 083 205) — inkl. lederrolle; han HENTET oppdrag for langt mer (2,5M inn i 2025).</t>
        </is>
      </c>
    </row>
    <row r="15">
      <c r="A15" s="6" t="inlineStr">
        <is>
          <t>Break-even per ny stol (egne kostnader)</t>
        </is>
      </c>
      <c r="B15" s="8">
        <f>$B$26/(1-$B$34-$B$31*$B$41/$B$5)</f>
        <v/>
      </c>
      <c r="C15" s="40" t="inlineStr">
        <is>
          <t>FORMEL: løpende trinnkost ÷ megler-marginal (1−0,55−markedskost-rate) ≈ 200k omsetning dekker stolens EGNE kostnader. Å dekke en ANDEL av felles faste krever ~1,2–1,7M (jf. «Lønnsomhet per megler» i kostnadsmodellen) — det er Sindres poeng om når en megler begynner å tjene penger.</t>
        </is>
      </c>
    </row>
    <row r="16">
      <c r="A16" s="6" t="inlineStr">
        <is>
          <t>Churn-buffer (stoler planlagt tomme)</t>
        </is>
      </c>
      <c r="B16" s="41" t="n">
        <v>1</v>
      </c>
      <c r="C16" s="40" t="inlineStr">
        <is>
          <t>Ditt valg: planlegg alltid som om én stol står tom (Daniel-effekten).</t>
        </is>
      </c>
    </row>
    <row r="17">
      <c r="A17" s="6" t="inlineStr">
        <is>
          <t>Megler-stoler bemannet i dag (utenom Sindre)</t>
        </is>
      </c>
      <c r="B17" s="41" t="n">
        <v>1</v>
      </c>
      <c r="C17" s="40" t="inlineStr">
        <is>
          <t>Henrik (+Marte som assistent). Daniel slutter → telles ikke.</t>
        </is>
      </c>
    </row>
    <row r="19">
      <c r="A19" s="37" t="inlineStr">
        <is>
          <t>RAMP-PROFIL FOR NYANSATT MEGLER (PLANANTAKELSE)</t>
        </is>
      </c>
      <c r="B19" s="38" t="n"/>
      <c r="C19" s="38" t="n"/>
    </row>
    <row r="20">
      <c r="A20" s="6" t="inlineStr">
        <is>
          <t>Produksjon måned 1–3 (andel av full stol)</t>
        </is>
      </c>
      <c r="B20" s="42" t="n">
        <v>0.4</v>
      </c>
      <c r="C20" s="40" t="inlineStr">
        <is>
          <t>EMPIRI (begge startet mars/apr 2025): Henrik solgte 1 963k i år 1 (2,35M-rate), Daniel 570k (0,76M-rate) — snitt ≈ full stol, men enorm spredning. 40/75/100 ligger bevisst under snittet av n=2.</t>
        </is>
      </c>
    </row>
    <row r="21">
      <c r="A21" s="6" t="inlineStr">
        <is>
          <t>Produksjon måned 4–6</t>
        </is>
      </c>
      <c r="B21" s="42" t="n">
        <v>0.75</v>
      </c>
      <c r="C21" s="40" t="inlineStr">
        <is>
          <t>Egen portefølje bygges. Median salgstid 89 dg → første oppgjør kommer ~3 mnd etter første oppdrag.</t>
        </is>
      </c>
    </row>
    <row r="22">
      <c r="A22" s="6" t="inlineStr">
        <is>
          <t>Produksjon måned 7–12</t>
        </is>
      </c>
      <c r="B22" s="42" t="n">
        <v>1</v>
      </c>
      <c r="C22" s="40" t="inlineStr">
        <is>
          <t>Fullt producing fra ~mnd 7. Henrik beviste at det er mulig; churn-bufferen tar høyde for en Daniel-profil.</t>
        </is>
      </c>
    </row>
    <row r="24">
      <c r="A24" s="37" t="inlineStr">
        <is>
          <t>TRINNVIS KOSTBASE (PLANANTAKELSE — juster mot egne tall)</t>
        </is>
      </c>
      <c r="B24" s="38" t="n"/>
      <c r="C24" s="38" t="n"/>
    </row>
    <row r="25">
      <c r="A25" s="6" t="inlineStr">
        <is>
          <t>Grunnkostbase per år (dekker inntil 2 megler-stoler)</t>
        </is>
      </c>
      <c r="B25" s="34" t="n">
        <v>1880000</v>
      </c>
      <c r="C25" s="40" t="inlineStr">
        <is>
          <t>DEF: kostbase fullastet 2,54M (kostnadsmodell jun 2026) minus markedskost-andelen. Inkl. Marte, Philip, avskrivning 228k, kontor, systemer — dagens nivå.</t>
        </is>
      </c>
    </row>
    <row r="26">
      <c r="A26" s="6" t="inlineStr">
        <is>
          <t>Løpende tilleggskost per bemannet stol utover 2</t>
        </is>
      </c>
      <c r="B26" s="34" t="n">
        <v>60000</v>
      </c>
      <c r="C26" s="40" t="inlineStr">
        <is>
          <t>FASIT-BASERT (kostnadsbudsjett 2026): parkering ~18k + CRM/lisenser ~30k + telefon/forsikring ~12k per hode. Kontor koster INGENTING før stol nr. 6 (plass på dagens kontor).</t>
        </is>
      </c>
    </row>
    <row r="27">
      <c r="A27" s="6" t="inlineStr">
        <is>
          <t>Engangs rekrutterings-/onboardingkost per nyansettelse</t>
        </is>
      </c>
      <c r="B27" s="34" t="n">
        <v>75000</v>
      </c>
      <c r="C27" s="40" t="inlineStr">
        <is>
          <t>PLANANTAKELSE: annonsering, intervjutid, utstyr, opplæring — belastes ansettelsesåret.</t>
        </is>
      </c>
    </row>
    <row r="28">
      <c r="A28" s="6" t="inlineStr">
        <is>
          <t>Kontorutvidelse fra ≥6 bemannede stoler</t>
        </is>
      </c>
      <c r="B28" s="34" t="n">
        <v>300000</v>
      </c>
      <c r="C28" s="40" t="inlineStr">
        <is>
          <t>PLASSHOLDER — dagens kontor har plass til ~5. Sjekk leieavtalen for faktisk kostnad ved utvidelse.</t>
        </is>
      </c>
    </row>
    <row r="29">
      <c r="A29" s="6" t="inlineStr">
        <is>
          <t>Salgsleder/daglig-leder-kapasitet fra ≥5 stoler</t>
        </is>
      </c>
      <c r="B29" s="34" t="n">
        <v>900000</v>
      </c>
      <c r="C29" s="40" t="inlineStr">
        <is>
          <t>PLANANTAKELSE: ved 5+ meglere kan ikke Sindre både selge 2,3M og lede alene.</t>
        </is>
      </c>
    </row>
    <row r="30">
      <c r="A30" s="6" t="inlineStr">
        <is>
          <t>Ekstra backoffice/administrasjon fra ≥8 stoler</t>
        </is>
      </c>
      <c r="B30" s="34" t="n">
        <v>500000</v>
      </c>
      <c r="C30" s="40" t="inlineStr">
        <is>
          <t>PLANANTAKELSE: kundeservice, oppgjør, kontor.</t>
        </is>
      </c>
    </row>
    <row r="31">
      <c r="A31" s="6" t="inlineStr">
        <is>
          <t>Markedskost per signert oppdrag inn</t>
        </is>
      </c>
      <c r="B31" s="34" t="n">
        <v>6600</v>
      </c>
      <c r="C31" s="40" t="inlineStr">
        <is>
          <t>DEF: målt snitt per SIGNERT oppdrag. CFO-mål: 4 552 + 15k-tak håndheves.</t>
        </is>
      </c>
    </row>
    <row r="33">
      <c r="A33" s="37" t="inlineStr">
        <is>
          <t>MEGLERKOST OG SINDRE-LØNN</t>
        </is>
      </c>
      <c r="B33" s="38" t="n"/>
      <c r="C33" s="38" t="n"/>
    </row>
    <row r="34">
      <c r="A34" s="6" t="inlineStr">
        <is>
          <t>Meglerkost, fullastet andel av megler-omsetning</t>
        </is>
      </c>
      <c r="B34" s="42" t="n">
        <v>0.55</v>
      </c>
      <c r="C34" s="40" t="inlineStr">
        <is>
          <t>DEF: meglerprovisjon (40 %) + AGA + feriepenger ≈ 55 øre per megler-omsetningskrone.</t>
        </is>
      </c>
    </row>
    <row r="35">
      <c r="A35" s="6" t="inlineStr">
        <is>
          <t>Grunnbeløpet G (per 1.5.2026)</t>
        </is>
      </c>
      <c r="B35" s="34" t="n">
        <v>136549</v>
      </c>
      <c r="C35" s="40" t="inlineStr">
        <is>
          <t>Kilde: nav.no/grunnbelopet. Oppdateres hver mai.</t>
        </is>
      </c>
    </row>
    <row r="36">
      <c r="A36" s="6" t="inlineStr">
        <is>
          <t>Sindres lønnstak (7,1G)</t>
        </is>
      </c>
      <c r="B36" s="8">
        <f>7.1*$B$35</f>
        <v/>
      </c>
      <c r="C36" s="40" t="inlineStr">
        <is>
          <t>DEF: 7,1G = taket for pensjonsopptjening i folketrygden — over dette lønner utbytte seg. Pensjonsgivende inntekt inkluderer feriepenger.</t>
        </is>
      </c>
    </row>
    <row r="37">
      <c r="A37" s="6" t="inlineStr">
        <is>
          <t>Sindres provisjonssats</t>
        </is>
      </c>
      <c r="B37" s="42" t="n">
        <v>0.45</v>
      </c>
      <c r="C37" s="40" t="inlineStr">
        <is>
          <t>45 % av egen omsetning ex mva (før tak).</t>
        </is>
      </c>
    </row>
    <row r="38">
      <c r="A38" s="6" t="inlineStr">
        <is>
          <t>Lønns-loading (AGA + feriepenger)</t>
        </is>
      </c>
      <c r="B38" s="54" t="n">
        <v>1.165</v>
      </c>
      <c r="C38" s="40" t="inlineStr">
        <is>
          <t>For Sindre: AGA/OTP-påslag. 7,1G-taket antas å INKLUDERE feriepenger (12 %, ikke 10,2) → grunnlønn ≈ 865 623 + 12 % FP = 969 498. MARIUS BEKREFTER inkl/eks-tolkningen; eks-tolkning koster ~115k mer.</t>
        </is>
      </c>
    </row>
    <row r="40">
      <c r="A40" s="37" t="inlineStr">
        <is>
          <t>TRAKT — kilder: kohortanalyse (Historikk) + HubSpot Pipeline A per 26.08.2026</t>
        </is>
      </c>
      <c r="B40" s="38" t="n"/>
      <c r="C40" s="38" t="n"/>
    </row>
    <row r="41">
      <c r="A41" s="6" t="inlineStr">
        <is>
          <t>Signerte oppdrag inn per solgt båt (PLANANTAKELSE)</t>
        </is>
      </c>
      <c r="B41" s="55" t="n">
        <v>1.3</v>
      </c>
      <c r="C41" s="40" t="inlineStr">
        <is>
          <t>KOHORTMÅLT på modne oppdrag (&gt;365 dg, n=58): 72 % solgt → 58/42 = 1,38 oppdrag/salg; hvis alle 8 åpne til slutt selges: 58/50 = 1,16. 1,30 = planantakelse mellom. v2-tallet 1,15 forkastet (samtidighetsfeil, jf. rådgiver).</t>
        </is>
      </c>
    </row>
    <row r="42">
      <c r="A42" s="6" t="inlineStr">
        <is>
          <t>Vinnrate Pipeline A — PROXY for befaring→signering</t>
        </is>
      </c>
      <c r="B42" s="42" t="n">
        <v>0.68</v>
      </c>
      <c r="C42" s="40" t="inlineStr">
        <is>
          <t>PROXY, IKKE målt close rate befaring→signering! DEF: 67 vunnet / 99 avgjorte deals i Pipeline A siste 12 mnd (hele trakten, prospect→signert). Isolert befaring→signering krever stage-historikk — mangler (mål: 90 %).</t>
        </is>
      </c>
    </row>
    <row r="43">
      <c r="A43" s="6" t="inlineStr">
        <is>
          <t>Prospect → befaring-rate (plantall)</t>
        </is>
      </c>
      <c r="B43" s="42" t="n">
        <v>0.5</v>
      </c>
      <c r="C43" s="40" t="inlineStr">
        <is>
          <t>Målt per megler (CFO-analyse): Sindre 74 %, Daniel 52 %, Henrik+Marte 28 %.</t>
        </is>
      </c>
    </row>
    <row r="44">
      <c r="A44" s="6" t="inlineStr">
        <is>
          <t>Arbeidsuker per år</t>
        </is>
      </c>
      <c r="B44" s="41" t="n">
        <v>46</v>
      </c>
      <c r="C44" s="40" t="inlineStr">
        <is>
          <t>Ferie/helligdager trukket fra.</t>
        </is>
      </c>
    </row>
    <row r="46">
      <c r="A46" s="37" t="inlineStr">
        <is>
          <t>SCORECARD-PARAMETRE (H2 2026)</t>
        </is>
      </c>
      <c r="B46" s="38" t="n"/>
      <c r="C46" s="38" t="n"/>
    </row>
    <row r="47">
      <c r="A47" s="6" t="inlineStr">
        <is>
          <t>H2-2026-mål omsetning ex mva (uten Daniel)</t>
        </is>
      </c>
      <c r="B47" s="34" t="n">
        <v>2900000</v>
      </c>
      <c r="C47" s="40" t="inlineStr">
        <is>
          <t>Fra revidert H2-plan aug 2026.</t>
        </is>
      </c>
    </row>
    <row r="48">
      <c r="A48" s="6" t="inlineStr">
        <is>
          <t>H2 levert hittil ex mva (fasit, per 26.08)</t>
        </is>
      </c>
      <c r="B48" s="34" t="n">
        <v>626060</v>
      </c>
      <c r="C48" s="40" t="inlineStr">
        <is>
          <t>Oppgjørsliste 2026: juli 392 960 + august 233 100. Oppdater ukentlig.</t>
        </is>
      </c>
    </row>
    <row r="49">
      <c r="A49" s="6" t="inlineStr">
        <is>
          <t>Hele uker igjen av H2 2026</t>
        </is>
      </c>
      <c r="B49" s="41" t="n">
        <v>17</v>
      </c>
      <c r="C49" s="40" t="inlineStr">
        <is>
          <t>ISO-uke 36–52 = 17 hele uker (i dag er uke 35 — inneværende deluke telles IKKE). Reduser med 1 hver mandag.</t>
        </is>
      </c>
    </row>
    <row r="51">
      <c r="A51" s="37" t="inlineStr">
        <is>
          <t>MANGLER – MÅ MÅLES</t>
        </is>
      </c>
      <c r="B51" s="38" t="n"/>
      <c r="C51" s="38" t="n"/>
    </row>
    <row r="52">
      <c r="A52" s="6" t="inlineStr">
        <is>
          <t>Befaring → signering isolert (mål 90 %)</t>
        </is>
      </c>
      <c r="C52" s="40" t="inlineStr">
        <is>
          <t>Krever stage-historikk i Pipeline A — sett opp HubSpot-rapport. Største traktehull.</t>
        </is>
      </c>
    </row>
    <row r="53">
      <c r="A53" s="6" t="inlineStr">
        <is>
          <t>Presise signerings-/salgsdatoer til kohorten</t>
        </is>
      </c>
      <c r="C53" s="40" t="inlineStr">
        <is>
          <t>B-deal createdate er proxy for signeringsdato; closedate delvis bulk-satt. Supabase oppdrag_livslop (433 rader) kan gi presise datoer.</t>
        </is>
      </c>
    </row>
    <row r="54">
      <c r="A54" s="6" t="inlineStr">
        <is>
          <t>Henvendelse → befaring per kilde</t>
        </is>
      </c>
      <c r="C54" s="40" t="inlineStr">
        <is>
          <t>FINN / nettside / referral / FSBO. Lead source må fylles konsekvent.</t>
        </is>
      </c>
    </row>
    <row r="55">
      <c r="A55" s="6" t="inlineStr">
        <is>
          <t>FSBO-/outreach-aktivitet per megler per uke</t>
        </is>
      </c>
      <c r="C55" s="40" t="inlineStr">
        <is>
          <t>Logges ikke i dag — inn i scorecardet.</t>
        </is>
      </c>
    </row>
    <row r="56">
      <c r="A56" s="6" t="inlineStr">
        <is>
          <t>Faktiske trinnkostnader ved vekst</t>
        </is>
      </c>
      <c r="C56" s="40" t="inlineStr">
        <is>
          <t>150k/stol, 900k leder, 500k backoffice er PLANANTAKELSER — kalibrer mot tilbud/regnskap før 3/5-års bemanning låses.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3" customWidth="1" min="4" max="4"/>
    <col width="11" customWidth="1" min="5" max="5"/>
    <col width="14" customWidth="1" min="6" max="6"/>
    <col width="13" customWidth="1" min="7" max="7"/>
    <col width="30" customWidth="1" min="8" max="8"/>
    <col width="8" customWidth="1" min="9" max="9"/>
  </cols>
  <sheetData>
    <row r="1">
      <c r="A1" s="1" t="inlineStr">
        <is>
          <t>WEEKLY SCORECARD — koblet til motoren (fyll inn hver fredag)</t>
        </is>
      </c>
    </row>
    <row r="2">
      <c r="A2" s="4" t="inlineStr">
        <is>
          <t>STYR PÅ ÉN LINJE: provisjon ex mva (hovedmålet). Leading-kolonnene forklarer NESTE måneds provisjon (salgstid ~89 dg). «H2-rest» = (mål − levert)/uker igjen — oppdater ukentlig.</t>
        </is>
      </c>
    </row>
    <row r="3">
      <c r="A3" s="4" t="inlineStr">
        <is>
          <t>Befaring-målet bruker 68 % PROXY-vinnrate. Rekrutteringsstatus er fast punkt i ukemøtet.</t>
        </is>
      </c>
    </row>
    <row r="5">
      <c r="A5" s="9" t="inlineStr">
        <is>
          <t>Uke</t>
        </is>
      </c>
      <c r="B5" s="9" t="inlineStr">
        <is>
          <t>Nye prospects</t>
        </is>
      </c>
      <c r="C5" s="9" t="inlineStr">
        <is>
          <t>Befaringer</t>
        </is>
      </c>
      <c r="D5" s="9" t="inlineStr">
        <is>
          <t>Signerte oppdrag</t>
        </is>
      </c>
      <c r="E5" s="9" t="inlineStr">
        <is>
          <t>Båter solgt</t>
        </is>
      </c>
      <c r="F5" s="9" t="inlineStr">
        <is>
          <t>Provisjon ex mva</t>
        </is>
      </c>
      <c r="G5" s="9" t="inlineStr">
        <is>
          <t>Publisert ≤7 dg</t>
        </is>
      </c>
      <c r="H5" s="9" t="inlineStr">
        <is>
          <t>Actions neste uke</t>
        </is>
      </c>
      <c r="I5" s="9" t="inlineStr">
        <is>
          <t>R/G/G</t>
        </is>
      </c>
    </row>
    <row r="6">
      <c r="A6" s="56" t="inlineStr">
        <is>
          <t>Type</t>
        </is>
      </c>
      <c r="B6" s="57" t="inlineStr">
        <is>
          <t>LEADING</t>
        </is>
      </c>
      <c r="C6" s="57" t="inlineStr">
        <is>
          <t>LEADING</t>
        </is>
      </c>
      <c r="D6" s="57" t="inlineStr">
        <is>
          <t>LEADING</t>
        </is>
      </c>
      <c r="E6" s="57" t="inlineStr">
        <is>
          <t>LAGGING</t>
        </is>
      </c>
      <c r="F6" s="57" t="inlineStr">
        <is>
          <t>★ HOVEDMÅL</t>
        </is>
      </c>
      <c r="G6" s="57" t="inlineStr">
        <is>
          <t>KONTROLL</t>
        </is>
      </c>
      <c r="H6" s="57" t="inlineStr"/>
      <c r="I6" s="57" t="inlineStr"/>
    </row>
    <row r="7">
      <c r="A7" s="58" t="inlineStr">
        <is>
          <t>MÅL: H2-rest (per KALENDERUKE, 17 igjen)</t>
        </is>
      </c>
      <c r="B7" s="59">
        <f>((Forutsetninger!$B$47-Forutsetninger!$B$48)/Forutsetninger!$B$5/Forutsetninger!$B$49)*Forutsetninger!$B$41/Forutsetninger!$B$42/Forutsetninger!$B$43</f>
        <v/>
      </c>
      <c r="C7" s="59">
        <f>((Forutsetninger!$B$47-Forutsetninger!$B$48)/Forutsetninger!$B$5/Forutsetninger!$B$49)*Forutsetninger!$B$41/Forutsetninger!$B$42</f>
        <v/>
      </c>
      <c r="D7" s="59">
        <f>((Forutsetninger!$B$47-Forutsetninger!$B$48)/Forutsetninger!$B$5/Forutsetninger!$B$49)*Forutsetninger!$B$41</f>
        <v/>
      </c>
      <c r="E7" s="59">
        <f>((Forutsetninger!$B$47-Forutsetninger!$B$48)/Forutsetninger!$B$5/Forutsetninger!$B$49)</f>
        <v/>
      </c>
      <c r="F7" s="60">
        <f>(Forutsetninger!$B$47-Forutsetninger!$B$48)/Forutsetninger!$B$49</f>
        <v/>
      </c>
      <c r="G7" s="61" t="n">
        <v>1</v>
      </c>
      <c r="H7" s="59" t="inlineStr"/>
      <c r="I7" s="59" t="inlineStr"/>
    </row>
    <row r="8">
      <c r="A8" s="56" t="inlineStr">
        <is>
          <t>Info: År 1-behov 2027 (per ARBEIDSUKE av 46 — IKKE sammenlignbar med H2-linjen)</t>
        </is>
      </c>
      <c r="B8" s="62">
        <f>'1-3-5 Plan'!C30</f>
        <v/>
      </c>
      <c r="C8" s="62">
        <f>'1-3-5 Plan'!C28</f>
        <v/>
      </c>
      <c r="D8" s="62">
        <f>'1-3-5 Plan'!C26</f>
        <v/>
      </c>
      <c r="E8" s="62">
        <f>'1-3-5 Plan'!C14/Forutsetninger!$B$44</f>
        <v/>
      </c>
      <c r="F8" s="63">
        <f>'1-3-5 Plan'!C8/Forutsetninger!$B$44</f>
        <v/>
      </c>
      <c r="G8" s="64" t="n">
        <v>1</v>
      </c>
      <c r="H8" s="62" t="inlineStr"/>
      <c r="I8" s="62" t="inlineStr"/>
    </row>
    <row r="10">
      <c r="A10" s="10" t="inlineStr">
        <is>
          <t>36</t>
        </is>
      </c>
      <c r="B10" s="65" t="n"/>
      <c r="C10" s="65" t="n"/>
      <c r="D10" s="65" t="n"/>
      <c r="E10" s="65" t="n"/>
      <c r="F10" s="65" t="n"/>
      <c r="G10" s="65" t="n"/>
      <c r="H10" s="65" t="n"/>
      <c r="I10" s="65" t="n"/>
    </row>
    <row r="11">
      <c r="A11" s="10" t="inlineStr">
        <is>
          <t>37</t>
        </is>
      </c>
      <c r="B11" s="65" t="n"/>
      <c r="C11" s="65" t="n"/>
      <c r="D11" s="65" t="n"/>
      <c r="E11" s="65" t="n"/>
      <c r="F11" s="65" t="n"/>
      <c r="G11" s="65" t="n"/>
      <c r="H11" s="65" t="n"/>
      <c r="I11" s="65" t="n"/>
    </row>
    <row r="12">
      <c r="A12" s="10" t="inlineStr">
        <is>
          <t>38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</row>
    <row r="13">
      <c r="A13" s="10" t="inlineStr">
        <is>
          <t>39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</row>
    <row r="14">
      <c r="A14" s="10" t="inlineStr">
        <is>
          <t>40</t>
        </is>
      </c>
      <c r="B14" s="65" t="n"/>
      <c r="C14" s="65" t="n"/>
      <c r="D14" s="65" t="n"/>
      <c r="E14" s="65" t="n"/>
      <c r="F14" s="65" t="n"/>
      <c r="G14" s="65" t="n"/>
      <c r="H14" s="65" t="n"/>
      <c r="I14" s="65" t="n"/>
    </row>
    <row r="15">
      <c r="A15" s="10" t="inlineStr">
        <is>
          <t>41</t>
        </is>
      </c>
      <c r="B15" s="65" t="n"/>
      <c r="C15" s="65" t="n"/>
      <c r="D15" s="65" t="n"/>
      <c r="E15" s="65" t="n"/>
      <c r="F15" s="65" t="n"/>
      <c r="G15" s="65" t="n"/>
      <c r="H15" s="65" t="n"/>
      <c r="I15" s="65" t="n"/>
    </row>
    <row r="16">
      <c r="A16" s="10" t="inlineStr">
        <is>
          <t>42</t>
        </is>
      </c>
      <c r="B16" s="65" t="n"/>
      <c r="C16" s="65" t="n"/>
      <c r="D16" s="65" t="n"/>
      <c r="E16" s="65" t="n"/>
      <c r="F16" s="65" t="n"/>
      <c r="G16" s="65" t="n"/>
      <c r="H16" s="65" t="n"/>
      <c r="I16" s="65" t="n"/>
    </row>
    <row r="17">
      <c r="A17" s="10" t="inlineStr">
        <is>
          <t>43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</row>
    <row r="18">
      <c r="A18" s="10" t="inlineStr">
        <is>
          <t>44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</row>
    <row r="19">
      <c r="A19" s="10" t="inlineStr">
        <is>
          <t>45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</row>
    <row r="20">
      <c r="A20" s="10" t="inlineStr">
        <is>
          <t>46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</row>
    <row r="21">
      <c r="A21" s="10" t="inlineStr">
        <is>
          <t>47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</row>
    <row r="22">
      <c r="A22" s="10" t="inlineStr">
        <is>
          <t>48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</row>
    <row r="23">
      <c r="A23" s="10" t="inlineStr">
        <is>
          <t>49</t>
        </is>
      </c>
      <c r="B23" s="65" t="n"/>
      <c r="C23" s="65" t="n"/>
      <c r="D23" s="65" t="n"/>
      <c r="E23" s="65" t="n"/>
      <c r="F23" s="65" t="n"/>
      <c r="G23" s="65" t="n"/>
      <c r="H23" s="65" t="n"/>
      <c r="I23" s="65" t="n"/>
    </row>
    <row r="24">
      <c r="A24" s="10" t="inlineStr">
        <is>
          <t>50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</row>
    <row r="25">
      <c r="A25" s="10" t="inlineStr">
        <is>
          <t>51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</row>
    <row r="26">
      <c r="A26" s="10" t="inlineStr">
        <is>
          <t>52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</row>
    <row r="29">
      <c r="A29" s="4" t="inlineStr">
        <is>
          <t>Fast ukemøte (30–45 min): 1) radene mot H2-rest-målet, 2) rød/gul/grønn, 3) 1–3 actions, 4) rekrutteringsstatus.</t>
        </is>
      </c>
    </row>
    <row r="30">
      <c r="A30" s="4" t="inlineStr">
        <is>
          <t>Definisjoner: Nye prospects = deals opprettet i Pipeline A. Befaringer = holdte. Signerte = Vunnet i A. Provisjon = oppgjørsliste ex mva.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2026-08-29T09:27:33Z</dcterms:created>
  <dcterms:modified xmlns:dcterms="http://purl.org/dc/terms/" xmlns:xsi="http://www.w3.org/2001/XMLSchema-instance" xsi:type="dcterms:W3CDTF">2026-08-29T09:27:34Z</dcterms:modified>
</cp:coreProperties>
</file>
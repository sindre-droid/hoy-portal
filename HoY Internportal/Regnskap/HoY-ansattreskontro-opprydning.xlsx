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2-2026 trapp" sheetId="1" state="visible" r:id="rId3"/>
    <sheet name="Break-even" sheetId="2" state="visible" r:id="rId4"/>
    <sheet name="2026-plan" sheetId="3" state="visible" r:id="rId5"/>
    <sheet name="Invest-avstemming" sheetId="4" state="visible" r:id="rId6"/>
    <sheet name="Saldo" sheetId="5" state="visible" r:id="rId7"/>
    <sheet name="Scenarier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<sst xmlns="http://schemas.openxmlformats.org/spreadsheetml/2006/main" count="290" uniqueCount="277">
  <si>
    <t xml:space="preserve">HoY – H2-2026 trapp: hva må til resten av året for å nå 6,3M provisjon</t>
  </si>
  <si>
    <t xml:space="preserve">A) Per megler – hva gjenstår i H2</t>
  </si>
  <si>
    <t xml:space="preserve">Megler</t>
  </si>
  <si>
    <t xml:space="preserve">2026 hittil</t>
  </si>
  <si>
    <t xml:space="preserve">Mål 2026</t>
  </si>
  <si>
    <t xml:space="preserve">Gjenstår H2</t>
  </si>
  <si>
    <t xml:space="preserve">H2-2025 (est.)</t>
  </si>
  <si>
    <t xml:space="preserve">Gjenstår ÷ i fjor</t>
  </si>
  <si>
    <t xml:space="preserve">Sindre</t>
  </si>
  <si>
    <t xml:space="preserve">Henrik (m/ Marte)</t>
  </si>
  <si>
    <t xml:space="preserve">Daniel</t>
  </si>
  <si>
    <t xml:space="preserve">Ny megler / vekst</t>
  </si>
  <si>
    <t xml:space="preserve">–</t>
  </si>
  <si>
    <t xml:space="preserve">SUM</t>
  </si>
  <si>
    <t xml:space="preserve">Henrik må mer enn doble fjorårets H2 (Marte-veddemålet). Daniel ~2,7x, men ligger godt an. Sindre ~som i fjor.</t>
  </si>
  <si>
    <t xml:space="preserve">B) Månedstrapp firma (fordelt etter 2025-sesong)</t>
  </si>
  <si>
    <t xml:space="preserve">Mål 2026 (helår)</t>
  </si>
  <si>
    <t xml:space="preserve">2026 hittil (per ~16. juni)</t>
  </si>
  <si>
    <t xml:space="preserve">Gjenstår resten av året</t>
  </si>
  <si>
    <t xml:space="preserve">Sum 2025-referanse (samme periode)</t>
  </si>
  <si>
    <t xml:space="preserve">Skaleringsfaktor vs 2025</t>
  </si>
  <si>
    <t xml:space="preserve">Måned</t>
  </si>
  <si>
    <t xml:space="preserve">2025 (referanse)</t>
  </si>
  <si>
    <t xml:space="preserve">Må selges 2026</t>
  </si>
  <si>
    <t xml:space="preserve">Juni (rest)</t>
  </si>
  <si>
    <t xml:space="preserve">Juli</t>
  </si>
  <si>
    <t xml:space="preserve">August</t>
  </si>
  <si>
    <t xml:space="preserve">September</t>
  </si>
  <si>
    <t xml:space="preserve">Oktober</t>
  </si>
  <si>
    <t xml:space="preserve">November</t>
  </si>
  <si>
    <t xml:space="preserve">Desember</t>
  </si>
  <si>
    <t xml:space="preserve">SUM H2</t>
  </si>
  <si>
    <t xml:space="preserve">C) Realitetssjekk</t>
  </si>
  <si>
    <t xml:space="preserve">2026 ligger litt FORAN 2025 på samme tid (1,98M mot ~1,86M)</t>
  </si>
  <si>
    <t xml:space="preserve">+6%</t>
  </si>
  <si>
    <t xml:space="preserve">Naturlig helår hvis 2025-sesong gjentas</t>
  </si>
  <si>
    <t xml:space="preserve">→ gir omtrent break-even med Marte inne (~0,1M)</t>
  </si>
  <si>
    <t xml:space="preserve">For 6,3M må H2 bli ~+44% per måned vs i fjor (se faktor over) – stretch, men sesongen er foran dere.</t>
  </si>
  <si>
    <t xml:space="preserve">Realistisk mellomnivå: ~5,5M → ~0,25M overskudd. 6,3M er strekkmålet.</t>
  </si>
  <si>
    <t xml:space="preserve">HoY – Break-even (provisjon ex mva). Produksjonstall = ANSLAG til «Salg per selger» er hentet</t>
  </si>
  <si>
    <t xml:space="preserve">Forutsetninger (blå = endre, oransje = FYLL INN)</t>
  </si>
  <si>
    <t xml:space="preserve">Fast overhead per år (ex meglerlønn, ex Marte)</t>
  </si>
  <si>
    <t xml:space="preserve">Marte – fast årslønn (kontrakt: 450k + feriep 10,2%)</t>
  </si>
  <si>
    <t xml:space="preserve">+ bonus: 10% av Henriks provisjon (≈4-5% av Henriks omsetning)</t>
  </si>
  <si>
    <t xml:space="preserve">Lønnsloading (feriepenger + AGA + OTP)</t>
  </si>
  <si>
    <t xml:space="preserve">Marte – full kostnad</t>
  </si>
  <si>
    <t xml:space="preserve">Marte startet ~mai 2026 → 2026 er delår (~8 mnd)</t>
  </si>
  <si>
    <t xml:space="preserve">Total fast overhead inkl Marte</t>
  </si>
  <si>
    <t xml:space="preserve">Selskapets margin per provisjonskrone (etter fullastet meglerlønn)</t>
  </si>
  <si>
    <t xml:space="preserve">Break-even og mål (provisjon ex mva per år)</t>
  </si>
  <si>
    <t xml:space="preserve">Break-even (0 overskudd, alle fullt betalt, inkl Marte)</t>
  </si>
  <si>
    <t xml:space="preserve">For 800 000 overskudd</t>
  </si>
  <si>
    <t xml:space="preserve">For 1 000 000 overskudd</t>
  </si>
  <si>
    <t xml:space="preserve">Marte som investering</t>
  </si>
  <si>
    <t xml:space="preserve">Ekstra provisjon som må til for å dekke Marte</t>
  </si>
  <si>
    <t xml:space="preserve">Henrik må produsere ca. dette MER for å forsvare henne</t>
  </si>
  <si>
    <t xml:space="preserve">Marte løfter break-even fra ~3,7M til nivået over. Hun forsvarer seg når Henriks merproduksjon × 47% &gt; full kostnad.</t>
  </si>
  <si>
    <t xml:space="preserve">Budsjettmål per megler – omsetning ex mva (FAKTISK, fra budsjett/oppgjørsark, summerer til 4,86M)</t>
  </si>
  <si>
    <t xml:space="preserve">Produksjon 2025</t>
  </si>
  <si>
    <t xml:space="preserve">Manko</t>
  </si>
  <si>
    <t xml:space="preserve">2026 hittil (juni)</t>
  </si>
  <si>
    <t xml:space="preserve">Sindre  (størst – 7,1G dekkes allerede)</t>
  </si>
  <si>
    <t xml:space="preserve">Henrik  (m/ Marte)</t>
  </si>
  <si>
    <t xml:space="preserve">Daniel  (i god vekst)</t>
  </si>
  <si>
    <t xml:space="preserve">Jeanette  (sluttet)</t>
  </si>
  <si>
    <t xml:space="preserve">Ny megler / vekst (erstatte Jeanette)</t>
  </si>
  <si>
    <t xml:space="preserve">SUM provisjon</t>
  </si>
  <si>
    <t xml:space="preserve">Overskudd hvis målene nås (inkl Marte)</t>
  </si>
  <si>
    <t xml:space="preserve">Overskudd på 2025-nivå (inkl Marte-kostnad nå)</t>
  </si>
  <si>
    <t xml:space="preserve">Overskudd hvis Jeanette ikke erstattes + Marte inn</t>
  </si>
  <si>
    <t xml:space="preserve">Tall = «Oppnådd budsjett» per megler (kreditert), summerer eksakt til 4 857 517 (2025). 2025-budsjett var 6,82M → nådde 71%.</t>
  </si>
  <si>
    <t xml:space="preserve">Marte er ren kostnad uten egen provisjon – hun må «tjenes inn» via Henriks merproduksjon.</t>
  </si>
  <si>
    <t xml:space="preserve">Jeanette borte (0,73M) + Marte-kostnad (~0,58M fast + bonus): firma må vokse ~+1,0-1,3M bare for å holde stillingen.</t>
  </si>
  <si>
    <t xml:space="preserve">Er «annen omsetning» (utenom provisjon) lønnsom? – fra hovedbok 2025</t>
  </si>
  <si>
    <t xml:space="preserve">Post</t>
  </si>
  <si>
    <t xml:space="preserve">Beløp 2025</t>
  </si>
  <si>
    <t xml:space="preserve">Reell margin?</t>
  </si>
  <si>
    <t xml:space="preserve">Utlegg oppstart Serotonic (konto 3000)</t>
  </si>
  <si>
    <t xml:space="preserve">Nei – ren gjennomstrømning (motpost kostnad)</t>
  </si>
  <si>
    <t xml:space="preserve">«Rydding» gamle kundesaldoer (konto 3900)</t>
  </si>
  <si>
    <t xml:space="preserve">Nei – engangs opprydning, ikke driftsinntekt</t>
  </si>
  <si>
    <t xml:space="preserve">Øvrige utlegg (salgsklargj., Ikano, vinterlager)</t>
  </si>
  <si>
    <t xml:space="preserve">Nei – gjennomstrømning ~0 margin</t>
  </si>
  <si>
    <t xml:space="preserve">Reelle servicegebyr (kontrakt/oppgjør, kran, båtplass)</t>
  </si>
  <si>
    <t xml:space="preserve">Ja, men lite</t>
  </si>
  <si>
    <t xml:space="preserve">Opptjent ikke fakt. – Lagoon 560 (konto 3090)</t>
  </si>
  <si>
    <t xml:space="preserve">Ja – men dette er PROVISJON (utland), bare periodisert</t>
  </si>
  <si>
    <t xml:space="preserve">Konklusjon: «Annen omsetning» er i hovedsak gjennomstrømnings-utlegg + engangs opprydning – IKKE lønnsom drift.</t>
  </si>
  <si>
    <t xml:space="preserve">2025-resultatet ble dessuten løftet av ~220k engangs «rydding» som ikke gjentar seg → reell, varig lønnsomhet er ~0,2M lavere.</t>
  </si>
  <si>
    <t xml:space="preserve">Eneste pålitelige marginmotor = meglerprovisjon. Derfor er 6,3M-målet (provisjon) det riktige å styre etter.</t>
  </si>
  <si>
    <t xml:space="preserve">HoY – 2026-plan: OTP, lønn vs utbytte, uttak og omsetningskrav</t>
  </si>
  <si>
    <t xml:space="preserve">Forutsetninger (blå = endre selv)</t>
  </si>
  <si>
    <t xml:space="preserve">Grunnbeløp G (2025)</t>
  </si>
  <si>
    <t xml:space="preserve">7,1 G (pensjonstak)</t>
  </si>
  <si>
    <t xml:space="preserve">Sindre lønn 2025</t>
  </si>
  <si>
    <t xml:space="preserve">Marginalskatt lønn, trinn 3 (&lt;942k)</t>
  </si>
  <si>
    <t xml:space="preserve">Marginalskatt lønn, trinn 4 (&gt;942k)</t>
  </si>
  <si>
    <t xml:space="preserve">Arbeidsgiveravgift</t>
  </si>
  <si>
    <t xml:space="preserve">Selskapsskatt</t>
  </si>
  <si>
    <t xml:space="preserve">Utbytteskatt</t>
  </si>
  <si>
    <t xml:space="preserve">Sum lønnsgrunnlag (2025)</t>
  </si>
  <si>
    <t xml:space="preserve">OTP betalt 2025</t>
  </si>
  <si>
    <t xml:space="preserve">OTP målsats</t>
  </si>
  <si>
    <t xml:space="preserve">1) OTP-opptrapping (2,5% til 7%)</t>
  </si>
  <si>
    <t xml:space="preserve">OTP i dag (% av lønn)</t>
  </si>
  <si>
    <t xml:space="preserve">OTP ved 7% av lønnsgrunnlaget</t>
  </si>
  <si>
    <t xml:space="preserve">Merfradrag per år</t>
  </si>
  <si>
    <t xml:space="preserve">Selskapsskatt spart per år</t>
  </si>
  <si>
    <t xml:space="preserve">Herav 7% av 7,1G inn på DIN pensjon</t>
  </si>
  <si>
    <t xml:space="preserve">2) Lønn vs utbytte - hva du beholder per 1 kr overskudd før skatt</t>
  </si>
  <si>
    <t xml:space="preserve">Via lønn, trinn 3 (&lt;942k) inkl AGA</t>
  </si>
  <si>
    <t xml:space="preserve">+ folketrygd-pensjon</t>
  </si>
  <si>
    <t xml:space="preserve">Via lønn, trinn 4 (&gt;942k) inkl AGA</t>
  </si>
  <si>
    <t xml:space="preserve">pensjon kun opp til 7,1G</t>
  </si>
  <si>
    <t xml:space="preserve">Via utbytte (22% + 37,84%)</t>
  </si>
  <si>
    <t xml:space="preserve">ingen pensjon/trygd</t>
  </si>
  <si>
    <t xml:space="preserve">Under 7,1G vinner lønn (litt billigere OG gir pensjon). Over ~942k vinner utbytte.</t>
  </si>
  <si>
    <t xml:space="preserve">3) Forslag uttaksplan 2026</t>
  </si>
  <si>
    <t xml:space="preserve">Lønn opp til 7,1G</t>
  </si>
  <si>
    <t xml:space="preserve">  okning fra 2025-lonn</t>
  </si>
  <si>
    <t xml:space="preserve">OTP 7% av lonn</t>
  </si>
  <si>
    <t xml:space="preserve">Arbeidsgiveravgift pa lonnen</t>
  </si>
  <si>
    <t xml:space="preserve">Selskapets totale kostnad (lonn+OTP+AGA)</t>
  </si>
  <si>
    <t xml:space="preserve">Skattefri rest selgerkreditt aa ta ut</t>
  </si>
  <si>
    <t xml:space="preserve">Over dette: utbytte ved behov (37,84%), ellers la staa i Invest.</t>
  </si>
  <si>
    <t xml:space="preserve">4) Hvor mye maa du omsette for aa naa lonnsmaalet?</t>
  </si>
  <si>
    <t xml:space="preserve">Provisjonssats av salgssum (inkl mva)</t>
  </si>
  <si>
    <t xml:space="preserve">Din andel av omsetning ex mva</t>
  </si>
  <si>
    <t xml:space="preserve">Lonnsmaal (7,1G)</t>
  </si>
  <si>
    <t xml:space="preserve">Din omsetning ex mva som kreves</t>
  </si>
  <si>
    <t xml:space="preserve">   provisjon inkl mva</t>
  </si>
  <si>
    <t xml:space="preserve">   baatsalg (salgssum) ved 6%</t>
  </si>
  <si>
    <t xml:space="preserve">Til sammenligning 2025:</t>
  </si>
  <si>
    <t xml:space="preserve">  din omsetning ex mva 2025</t>
  </si>
  <si>
    <t xml:space="preserve">  tilsvarte baatsalg 2025</t>
  </si>
  <si>
    <t xml:space="preserve">Okning i baatsalg som kreves</t>
  </si>
  <si>
    <t xml:space="preserve">Okning i %</t>
  </si>
  <si>
    <t xml:space="preserve">Forutsetter standard 6% og 45% andel. Faktisk blandet sats varierer (avgiftsfrie deler, minstehonorar 45k).</t>
  </si>
  <si>
    <t xml:space="preserve">Beslutningsstotte, ikke skatteraadgivning. Bekreft satser og opptrapping med Marius.</t>
  </si>
  <si>
    <t xml:space="preserve">5) Din faktiske produksjon vs uttak</t>
  </si>
  <si>
    <t xml:space="preserve">Aar</t>
  </si>
  <si>
    <t xml:space="preserve">Omsetning ex mva</t>
  </si>
  <si>
    <t xml:space="preserve">Opptjent 45% / faktisk lonn</t>
  </si>
  <si>
    <t xml:space="preserve">2024</t>
  </si>
  <si>
    <t xml:space="preserve">2025</t>
  </si>
  <si>
    <t xml:space="preserve">2026 hittil (per juni)</t>
  </si>
  <si>
    <t xml:space="preserve">Opptjent 45% i 2025</t>
  </si>
  <si>
    <t xml:space="preserve">Faktisk lonn 2025</t>
  </si>
  <si>
    <t xml:space="preserve">Ikke uttatt (opptjent men ikke tatt ut) 2025</t>
  </si>
  <si>
    <t xml:space="preserve">Du produserte altsaa nok til full 7,1G-lonn ogsaa i 2025 (937k &gt; 924k).</t>
  </si>
  <si>
    <t xml:space="preserve">6) Ren maate aa bruke 2025-leveren paa</t>
  </si>
  <si>
    <t xml:space="preserve">Rest ansattreskontro aa nulle</t>
  </si>
  <si>
    <t xml:space="preserve">Bruttolonn for aa nulle den (netto motregnes)</t>
  </si>
  <si>
    <t xml:space="preserve">Ny 2025-lonn (713k + dette)</t>
  </si>
  <si>
    <t xml:space="preserve">ca 7,1G</t>
  </si>
  <si>
    <t xml:space="preserve">AGA paa tilleggslonnen</t>
  </si>
  <si>
    <t xml:space="preserve">2025-resultat ned (lonn+AGA)</t>
  </si>
  <si>
    <t xml:space="preserve">Selskapsskatt spart</t>
  </si>
  <si>
    <t xml:space="preserve">Dette er opptjent 2025-provisjon du ikke tok ut - ikke omdoping av gamle laan. Solid grunnlag for periodisering.</t>
  </si>
  <si>
    <t xml:space="preserve">NB: ma rapporteres paa a-melding 2025 (korrigeres), og velg lonn-sporet konsekvent (ikke ogsaa §10-11 paa samme krone).</t>
  </si>
  <si>
    <t xml:space="preserve">HoY Invest — selgerkreditt til Sindre: full bevegelse (korrigert)</t>
  </si>
  <si>
    <t xml:space="preserve">Hendelse</t>
  </si>
  <si>
    <t xml:space="preserve">Dato</t>
  </si>
  <si>
    <t xml:space="preserve">Endring</t>
  </si>
  <si>
    <t xml:space="preserve">Rest skyldig Sindre</t>
  </si>
  <si>
    <t xml:space="preserve">Kilde</t>
  </si>
  <si>
    <t xml:space="preserve">Selgerkreditt etablert (House 584 132 + Serotonic 33 334)</t>
  </si>
  <si>
    <t xml:space="preserve">31.12.2024</t>
  </si>
  <si>
    <t xml:space="preserve">Årsregnskap 2024</t>
  </si>
  <si>
    <t xml:space="preserve">Betalt → Sindre</t>
  </si>
  <si>
    <t xml:space="preserve">02.01.2025</t>
  </si>
  <si>
    <t xml:space="preserve">Kontoutskrift #1 / 2025</t>
  </si>
  <si>
    <t xml:space="preserve">18.09.2025</t>
  </si>
  <si>
    <t xml:space="preserve">Kontoutskrift #9 / 2025</t>
  </si>
  <si>
    <t xml:space="preserve">27.02.2026</t>
  </si>
  <si>
    <t xml:space="preserve">Kontoutskrift #1/2026 + kvittering: «Sluttoppgjør salg aksjer HoY» ✓</t>
  </si>
  <si>
    <t xml:space="preserve">Sum betalt til Sindre</t>
  </si>
  <si>
    <t xml:space="preserve">nøyaktig House-andelen</t>
  </si>
  <si>
    <t xml:space="preserve">Rest selgerkreditt (kun Serotonic-delen igjen)</t>
  </si>
  <si>
    <t xml:space="preserve">Hva dette gjør med motregningen:</t>
  </si>
  <si>
    <t xml:space="preserve">Ansattreskontro som skal nulles</t>
  </si>
  <si>
    <t xml:space="preserve">− Tilgjengelig selgerkreditt (rest)</t>
  </si>
  <si>
    <t xml:space="preserve">Sindre skylder FORTSATT HoY AS</t>
  </si>
  <si>
    <t xml:space="preserve">Marius regnet 617 466 − 450 000 = 167 466 og fikk «17 000 igjen i din favør».</t>
  </si>
  <si>
    <t xml:space="preserve">Men 134 132 ble også betalt til deg 27.02.2026. Faktisk betalt = 584 132 (hele House-andelen).</t>
  </si>
  <si>
    <t xml:space="preserve">Rest selgerkreditt er derfor bare 33 334 (Serotonic), ikke 167 466. Motregning dekker IKKE de 150 040 —</t>
  </si>
  <si>
    <t xml:space="preserve">det står igjen ~116 706 du fortsatt skylder HoY AS. Marius' plan må regnes på nytt.</t>
  </si>
  <si>
    <t xml:space="preserve">Avklart via kvittering — se under. Gjenstående å løse på annen måte: 116 706.</t>
  </si>
  <si>
    <t xml:space="preserve">Kvittering bekrefter: 134 132 = «Sluttoppgjør salg aksjer HoY» → nedbetaling selgerkreditt, IKKE utbytte.</t>
  </si>
  <si>
    <t xml:space="preserve">Øvrige 2026-poster (ikke selgerkreditt til deg ved navn): +300 000 fra Stram Wire Holding AS (27.03),</t>
  </si>
  <si>
    <t xml:space="preserve">−333 000 til konto 1520.32.53114 (27.04). Avklar hva disse er.</t>
  </si>
  <si>
    <t xml:space="preserve">House of Yachts AS — Ansattreskontro Sindre (per 15.06.2026)</t>
  </si>
  <si>
    <t xml:space="preserve">Netto fordring selskapet har på Sindre: 150 040 kr</t>
  </si>
  <si>
    <t xml:space="preserve">Kategori</t>
  </si>
  <si>
    <t xml:space="preserve">Beskrivelse</t>
  </si>
  <si>
    <t xml:space="preserve">Beløp (kr)</t>
  </si>
  <si>
    <t xml:space="preserve">Skattemessig natur ved opprydning</t>
  </si>
  <si>
    <t xml:space="preserve">Sindre skylder selskapet</t>
  </si>
  <si>
    <t xml:space="preserve">  Lønnsforskudd</t>
  </si>
  <si>
    <t xml:space="preserve">3 utbet. 2022/2024 (10k+15k+50k)</t>
  </si>
  <si>
    <t xml:space="preserve">Naturlig å omklassifisere til LØNN (fradrag)</t>
  </si>
  <si>
    <t xml:space="preserve">  Kortsiktig lån</t>
  </si>
  <si>
    <t xml:space="preserve">Bilag 320, 2021</t>
  </si>
  <si>
    <t xml:space="preserve">Aksjonærlån → UTBYTTE (jf. sktl. §10-11)</t>
  </si>
  <si>
    <t xml:space="preserve">  Utbetaling utlegg</t>
  </si>
  <si>
    <t xml:space="preserve">Bilag 3859, 2025</t>
  </si>
  <si>
    <t xml:space="preserve">Avstem mot faktiske utlegg / ellers utbytte</t>
  </si>
  <si>
    <t xml:space="preserve">  Bank/uspesifisert</t>
  </si>
  <si>
    <t xml:space="preserve">Diverse overføringer</t>
  </si>
  <si>
    <t xml:space="preserve">Avstem; rest = utbytte</t>
  </si>
  <si>
    <t xml:space="preserve">  Privat uttak</t>
  </si>
  <si>
    <t xml:space="preserve">Oda, privat o.l.</t>
  </si>
  <si>
    <t xml:space="preserve">UTBYTTE (privat bruk)</t>
  </si>
  <si>
    <t xml:space="preserve">  Sum Sindre skylder</t>
  </si>
  <si>
    <t xml:space="preserve">Selskapet skylder Sindre</t>
  </si>
  <si>
    <t xml:space="preserve">  Reelle utlegg</t>
  </si>
  <si>
    <t xml:space="preserve">Marbella, reise, kontor 2020-2025</t>
  </si>
  <si>
    <t xml:space="preserve">Skattefri refusjon (reduserer gjelden)</t>
  </si>
  <si>
    <t xml:space="preserve">NETTO FORDRING PÅ SINDRE</t>
  </si>
  <si>
    <t xml:space="preserve">Merk: kategoriene er anslag fra postenes tekst. Regnskapsfører bør matche hvert bilag før endelig bokføring.</t>
  </si>
  <si>
    <t xml:space="preserve">Tidslinje §10-11 — HoY Invest kjøpte aksjene 31.08.2024</t>
  </si>
  <si>
    <t xml:space="preserve">Beløp</t>
  </si>
  <si>
    <t xml:space="preserve">Eierskap da</t>
  </si>
  <si>
    <t xml:space="preserve">Utbytte-år (hvis lån)</t>
  </si>
  <si>
    <t xml:space="preserve">Kortsiktig lån</t>
  </si>
  <si>
    <t xml:space="preserve">2021-04-09</t>
  </si>
  <si>
    <t xml:space="preserve">Direkte eier</t>
  </si>
  <si>
    <t xml:space="preserve">2021</t>
  </si>
  <si>
    <t xml:space="preserve">Lønnsforskudd</t>
  </si>
  <si>
    <t xml:space="preserve">2022-09-09</t>
  </si>
  <si>
    <t xml:space="preserve">2022</t>
  </si>
  <si>
    <t xml:space="preserve">2022-10-04</t>
  </si>
  <si>
    <t xml:space="preserve">Forskudd Lønn</t>
  </si>
  <si>
    <t xml:space="preserve">2024-03-25</t>
  </si>
  <si>
    <t xml:space="preserve">Direkte eier (før 31.08)</t>
  </si>
  <si>
    <t xml:space="preserve">Utbetaling utlegg</t>
  </si>
  <si>
    <t xml:space="preserve">2025-02-10</t>
  </si>
  <si>
    <t xml:space="preserve">Indirekte (via Invest)</t>
  </si>
  <si>
    <t xml:space="preserve">2025 — men trolig utleggsrefusjon, ikke lån</t>
  </si>
  <si>
    <t xml:space="preserve">Privat/bank diverse</t>
  </si>
  <si>
    <t xml:space="preserve">2021-2025</t>
  </si>
  <si>
    <t xml:space="preserve">Vurderes per bilag</t>
  </si>
  <si>
    <t xml:space="preserve">Stort sett 2021-2022 (direkte)</t>
  </si>
  <si>
    <t xml:space="preserve">Konklusjon: Alle reelle lån/forskudd er fra FØR 31.08.2024 → Sindre var direkte eier → §10-11 i 2021/2022/2024.</t>
  </si>
  <si>
    <t xml:space="preserve">Holdingstrukturen er altså nesten irrelevant for disse. Dette er prior-year-opprydning, ikke et 2025-grep. Vurder frivillig retting.</t>
  </si>
  <si>
    <t xml:space="preserve">Måter å fjerne fordringen på — full nedbetaling av 150 040 kr</t>
  </si>
  <si>
    <t xml:space="preserve">Netto fordring som skal fjernes</t>
  </si>
  <si>
    <t xml:space="preserve">Arbeidsgiveravgift (Oslo, sone I)</t>
  </si>
  <si>
    <t xml:space="preserve">Sindres marginale lønnsskatt</t>
  </si>
  <si>
    <t xml:space="preserve">Effektiv utbytteskatt (1,72 × 22%)</t>
  </si>
  <si>
    <t xml:space="preserve">Sammenligning (alle fjerner hele gjelden)</t>
  </si>
  <si>
    <t xml:space="preserve">1. Alt som lønn</t>
  </si>
  <si>
    <t xml:space="preserve">2. Alt som utbytte</t>
  </si>
  <si>
    <t xml:space="preserve">3. Kontant tilbakebet.</t>
  </si>
  <si>
    <t xml:space="preserve">4. Anbefalt hybrid</t>
  </si>
  <si>
    <t xml:space="preserve">Gjeld som fjernes (netto)</t>
  </si>
  <si>
    <t xml:space="preserve">Andel dekket av lønn</t>
  </si>
  <si>
    <t xml:space="preserve">Andel dekket av utbytte</t>
  </si>
  <si>
    <t xml:space="preserve">Andel dekket kontant (skattefritt)</t>
  </si>
  <si>
    <t xml:space="preserve">Bruttolønn som må bokføres</t>
  </si>
  <si>
    <t xml:space="preserve">Arbeidsgiveravgift på lønn</t>
  </si>
  <si>
    <t xml:space="preserve">Selskapets skattefradrag (lønn+AGA)</t>
  </si>
  <si>
    <t xml:space="preserve">(-) Selskapsskatt spart</t>
  </si>
  <si>
    <t xml:space="preserve">Sindres skatt på lønn</t>
  </si>
  <si>
    <t xml:space="preserve">Sindres skatt på utbytte</t>
  </si>
  <si>
    <t xml:space="preserve">Netto samlet skattekostnad</t>
  </si>
  <si>
    <t xml:space="preserve">Effektiv kostnad av gjelden</t>
  </si>
  <si>
    <t xml:space="preserve">Reduksjon i skattepl. resultat 2025</t>
  </si>
  <si>
    <t xml:space="preserve">Tolkning:</t>
  </si>
  <si>
    <t xml:space="preserve">• Lavest total skatt på å fjerne gjelden = alt som utbytte (≈ 37,8%). Reduserer ikke 2025-resultatet.</t>
  </si>
  <si>
    <t xml:space="preserve">• Kun lønn reduserer skattepliktig resultat, men koster mest totalt (lønn 47,4% + AGA &gt; utbytte 37,8%).</t>
  </si>
  <si>
    <t xml:space="preserve">• Kontant tilbakebetaling = 0 skatt, men binder 150k likviditet og reduserer ikke resultatet.</t>
  </si>
  <si>
    <t xml:space="preserve">• §10-11 gjelder OGSÅ indirekte/konsern: lånet (50k) regnes som utbytte for Sindre selv om han eier via HoY Invest.</t>
  </si>
  <si>
    <t xml:space="preserve">   Arbeidsgiverunntaket gjelder ikke (Sindre eier &gt;5%). Tilbakebetaling øker inngangsverdien på HoY Invest-aksjene.</t>
  </si>
  <si>
    <t xml:space="preserve">• Eierstruktur: HoY Invest AS eier HoY AS 100%. Utbytte fra HoY AS går til HoY Invest (skattefritt, fritaksmetoden) –</t>
  </si>
  <si>
    <t xml:space="preserve">Dette er en beslutningsstøtte, ikke skatterådgivning. Endelig behandling avklares med regnskapsfører/revisor.</t>
  </si>
  <si>
    <t xml:space="preserve">   IKKE direkte til Sindre. For å nulle fordringen via utbytte må verdien deles ut i to ledd (HoY AS→Invest→Sindre).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</si>
</sst>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#,##0&quot; kr&quot;;\(#,##0&quot;) kr&quot;;&quot;- kr&quot;"/>
    <numFmt numFmtId="166" formatCode="0.0\x"/>
    <numFmt numFmtId="167" formatCode="#,##0&quot; kr&quot;;\(#,##0&quot;) kr&quot;;&quot;- kr&quot;"/>
    <numFmt numFmtId="168" formatCode="0.00"/>
    <numFmt numFmtId="169" formatCode="0.0%"/>
    <numFmt numFmtId="170" formatCode="#,##0&quot; kr&quot;"/>
  </numFmts>
  <fonts count="2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name val="Arial"/>
      <family val="0"/>
      <charset val="1"/>
    </font>
    <font>
      <i val="true"/>
      <sz val="9"/>
      <color rgb="FF595959"/>
      <name val="Arial"/>
      <family val="0"/>
      <charset val="1"/>
    </font>
    <font>
      <sz val="11"/>
      <color rgb="FF0000FF"/>
      <name val="Arial"/>
      <family val="0"/>
      <charset val="1"/>
    </font>
    <font>
      <b val="true"/>
      <sz val="11"/>
      <color rgb="FF2E7D32"/>
      <name val="Arial"/>
      <family val="0"/>
      <charset val="1"/>
    </font>
    <font>
      <i val="true"/>
      <sz val="9"/>
      <color rgb="FFC0392B"/>
      <name val="Arial"/>
      <family val="0"/>
      <charset val="1"/>
    </font>
    <font>
      <b val="true"/>
      <sz val="11"/>
      <color rgb="FF0000FF"/>
      <name val="Arial"/>
      <family val="0"/>
      <charset val="1"/>
    </font>
    <font>
      <i val="true"/>
      <sz val="9"/>
      <color rgb="FFC55A11"/>
      <name val="Arial"/>
      <family val="0"/>
      <charset val="1"/>
    </font>
    <font>
      <b val="true"/>
      <sz val="14"/>
      <name val="Arial"/>
      <family val="0"/>
      <charset val="1"/>
    </font>
    <font>
      <i val="true"/>
      <sz val="9"/>
      <color rgb="FF2E7D32"/>
      <name val="Arial"/>
      <family val="0"/>
      <charset val="1"/>
    </font>
    <font>
      <i val="true"/>
      <sz val="9"/>
      <color rgb="FFC00000"/>
      <name val="Arial"/>
      <family val="0"/>
      <charset val="1"/>
    </font>
    <font>
      <i val="true"/>
      <sz val="9"/>
      <color rgb="FF000000"/>
      <name val="Arial"/>
      <family val="0"/>
      <charset val="1"/>
    </font>
    <font>
      <i val="true"/>
      <sz val="9"/>
      <color rgb="FF808080"/>
      <name val="Arial"/>
      <family val="0"/>
      <charset val="1"/>
    </font>
    <font>
      <i val="true"/>
      <sz val="11"/>
      <color rgb="FFC00000"/>
      <name val="Arial"/>
      <family val="0"/>
      <charset val="1"/>
    </font>
    <font>
      <b val="true"/>
      <sz val="12"/>
      <name val="Arial"/>
      <family val="0"/>
      <charset val="1"/>
    </font>
    <font>
      <b val="true"/>
      <i val="true"/>
      <sz val="9"/>
      <color rgb="FFC00000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D9E1F2"/>
        <bgColor rgb="FFE2EFDA"/>
      </patternFill>
    </fill>
    <fill>
      <patternFill patternType="solid">
        <fgColor rgb="FF1F3864"/>
        <bgColor rgb="FF333333"/>
      </patternFill>
    </fill>
    <fill>
      <patternFill patternType="solid">
        <fgColor rgb="FFFFF2CC"/>
        <bgColor rgb="FFFCE4D6"/>
      </patternFill>
    </fill>
    <fill>
      <patternFill patternType="solid">
        <fgColor rgb="FFE2EFDA"/>
        <bgColor rgb="FFD9E1F2"/>
      </patternFill>
    </fill>
    <fill>
      <patternFill patternType="solid">
        <fgColor rgb="FFFCE4D6"/>
        <bgColor rgb="FFFCE4E4"/>
      </patternFill>
    </fill>
    <fill>
      <patternFill patternType="solid">
        <fgColor rgb="FFFCE4E4"/>
        <bgColor rgb="FFFCE4D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9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12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9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5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5" fillId="2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9" fontId="9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5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5" fillId="5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5" fillId="6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7" fillId="7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7" fillId="7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9" fillId="7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5" fillId="7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5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9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7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9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0" fillId="0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7" fontId="5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7" fontId="7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7" fontId="7" fillId="4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5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7" fontId="5" fillId="5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7" fontId="7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5" fillId="7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7" fontId="5" fillId="7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7" fontId="5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4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7" fontId="5" fillId="4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2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7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21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0" fillId="0" borderId="1" xfId="0" applyFont="fals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5" fillId="5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7" fillId="5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9" fontId="0" fillId="5" borderId="1" xfId="0" applyFont="false" applyBorder="true" applyAlignment="true" applyProtection="false">
      <alignment horizontal="righ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CE4E4"/>
      <rgbColor rgb="FF99CCFF"/>
      <rgbColor rgb="FFFF99CC"/>
      <rgbColor rgb="FFCC99FF"/>
      <rgbColor rgb="FFFCE4D6"/>
      <rgbColor rgb="FF3366FF"/>
      <rgbColor rgb="FF33CCCC"/>
      <rgbColor rgb="FF99CC00"/>
      <rgbColor rgb="FFFFCC00"/>
      <rgbColor rgb="FFFF9900"/>
      <rgbColor rgb="FFC55A11"/>
      <rgbColor rgb="FF595959"/>
      <rgbColor rgb="FF969696"/>
      <rgbColor rgb="FF1F3864"/>
      <rgbColor rgb="FF2E7D32"/>
      <rgbColor rgb="FF003300"/>
      <rgbColor rgb="FF333300"/>
      <rgbColor rgb="FFC0392B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4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6"/>
    <col collapsed="false" customWidth="true" hidden="false" outlineLevel="0" max="3" min="2" style="0" width="16"/>
    <col collapsed="false" customWidth="true" hidden="false" outlineLevel="0" max="5" min="4" style="0" width="15"/>
    <col collapsed="false" customWidth="true" hidden="false" outlineLevel="0" max="6" min="6" style="0" width="16"/>
  </cols>
  <sheetData>
    <row r="1" customFormat="false" ht="16.15" hidden="false" customHeight="false" outlineLevel="0" collapsed="false">
      <c r="A1" s="1" t="s">
        <v>0</v>
      </c>
    </row>
    <row r="3" customFormat="false" ht="15" hidden="false" customHeight="false" outlineLevel="0" collapsed="false">
      <c r="A3" s="2" t="s">
        <v>1</v>
      </c>
    </row>
    <row r="4" customFormat="false" ht="1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</row>
    <row r="5" customFormat="false" ht="15" hidden="false" customHeight="false" outlineLevel="0" collapsed="false">
      <c r="A5" s="4" t="s">
        <v>8</v>
      </c>
      <c r="B5" s="5" t="n">
        <v>900200</v>
      </c>
      <c r="C5" s="5" t="n">
        <v>2053636</v>
      </c>
      <c r="D5" s="6" t="n">
        <f aca="false">C5-B5</f>
        <v>1153436</v>
      </c>
      <c r="E5" s="5" t="n">
        <v>1104099</v>
      </c>
      <c r="F5" s="7" t="n">
        <f aca="false">D5/E5</f>
        <v>1.04468530448809</v>
      </c>
    </row>
    <row r="6" customFormat="false" ht="15" hidden="false" customHeight="false" outlineLevel="0" collapsed="false">
      <c r="A6" s="4" t="s">
        <v>9</v>
      </c>
      <c r="B6" s="5" t="n">
        <v>643600</v>
      </c>
      <c r="C6" s="5" t="n">
        <v>2400000</v>
      </c>
      <c r="D6" s="6" t="n">
        <f aca="false">C6-B6</f>
        <v>1756400</v>
      </c>
      <c r="E6" s="5" t="n">
        <v>847572</v>
      </c>
      <c r="F6" s="7" t="n">
        <f aca="false">D6/E6</f>
        <v>2.07227232612687</v>
      </c>
    </row>
    <row r="7" customFormat="false" ht="15" hidden="false" customHeight="false" outlineLevel="0" collapsed="false">
      <c r="A7" s="4" t="s">
        <v>10</v>
      </c>
      <c r="B7" s="5" t="n">
        <v>438400</v>
      </c>
      <c r="C7" s="5" t="n">
        <v>1200000</v>
      </c>
      <c r="D7" s="6" t="n">
        <f aca="false">C7-B7</f>
        <v>761600</v>
      </c>
      <c r="E7" s="5" t="n">
        <v>282130</v>
      </c>
      <c r="F7" s="7" t="n">
        <f aca="false">D7/E7</f>
        <v>2.69946478573707</v>
      </c>
    </row>
    <row r="8" customFormat="false" ht="15" hidden="false" customHeight="false" outlineLevel="0" collapsed="false">
      <c r="A8" s="4" t="s">
        <v>11</v>
      </c>
      <c r="B8" s="5" t="n">
        <v>0</v>
      </c>
      <c r="C8" s="5" t="n">
        <v>650000</v>
      </c>
      <c r="D8" s="6" t="n">
        <f aca="false">C8-B8</f>
        <v>650000</v>
      </c>
      <c r="E8" s="5" t="n">
        <v>0</v>
      </c>
      <c r="F8" s="7" t="s">
        <v>12</v>
      </c>
    </row>
    <row r="9" customFormat="false" ht="15" hidden="false" customHeight="false" outlineLevel="0" collapsed="false">
      <c r="A9" s="8" t="s">
        <v>13</v>
      </c>
      <c r="B9" s="9" t="n">
        <f aca="false">SUM(B5:B8)</f>
        <v>1982200</v>
      </c>
      <c r="C9" s="9" t="n">
        <f aca="false">SUM(C5:C8)</f>
        <v>6303636</v>
      </c>
      <c r="D9" s="9" t="n">
        <f aca="false">SUM(D5:D8)</f>
        <v>4321436</v>
      </c>
      <c r="E9" s="9" t="n">
        <f aca="false">SUM(E5:E8)</f>
        <v>2233801</v>
      </c>
      <c r="F9" s="10"/>
    </row>
    <row r="10" customFormat="false" ht="15" hidden="false" customHeight="false" outlineLevel="0" collapsed="false">
      <c r="A10" s="11" t="s">
        <v>14</v>
      </c>
    </row>
    <row r="12" customFormat="false" ht="15" hidden="false" customHeight="false" outlineLevel="0" collapsed="false">
      <c r="A12" s="2" t="s">
        <v>15</v>
      </c>
    </row>
    <row r="13" customFormat="false" ht="15" hidden="false" customHeight="false" outlineLevel="0" collapsed="false">
      <c r="A13" s="4" t="s">
        <v>16</v>
      </c>
      <c r="B13" s="12" t="n">
        <v>6303636</v>
      </c>
    </row>
    <row r="14" customFormat="false" ht="15" hidden="false" customHeight="false" outlineLevel="0" collapsed="false">
      <c r="A14" s="4" t="s">
        <v>17</v>
      </c>
      <c r="B14" s="12" t="n">
        <v>1982200</v>
      </c>
    </row>
    <row r="15" customFormat="false" ht="15" hidden="false" customHeight="false" outlineLevel="0" collapsed="false">
      <c r="A15" s="4" t="s">
        <v>18</v>
      </c>
      <c r="B15" s="6" t="n">
        <f aca="false">B13-B14</f>
        <v>4321436</v>
      </c>
    </row>
    <row r="16" customFormat="false" ht="15" hidden="false" customHeight="false" outlineLevel="0" collapsed="false">
      <c r="A16" s="4" t="s">
        <v>19</v>
      </c>
      <c r="B16" s="5" t="n">
        <v>2998133</v>
      </c>
    </row>
    <row r="17" customFormat="false" ht="15" hidden="false" customHeight="false" outlineLevel="0" collapsed="false">
      <c r="A17" s="4" t="s">
        <v>20</v>
      </c>
      <c r="B17" s="13" t="n">
        <f aca="false">B15/B16</f>
        <v>1.44137568279993</v>
      </c>
    </row>
    <row r="18" customFormat="false" ht="15" hidden="false" customHeight="false" outlineLevel="0" collapsed="false">
      <c r="A18" s="14"/>
    </row>
    <row r="19" customFormat="false" ht="15" hidden="false" customHeight="false" outlineLevel="0" collapsed="false">
      <c r="A19" s="15" t="s">
        <v>21</v>
      </c>
      <c r="B19" s="15" t="s">
        <v>22</v>
      </c>
      <c r="C19" s="15" t="s">
        <v>23</v>
      </c>
    </row>
    <row r="20" customFormat="false" ht="15" hidden="false" customHeight="false" outlineLevel="0" collapsed="false">
      <c r="A20" s="4" t="s">
        <v>24</v>
      </c>
      <c r="B20" s="5" t="n">
        <v>416960</v>
      </c>
      <c r="C20" s="6" t="n">
        <f aca="false">B20*B17</f>
        <v>600996.004700259</v>
      </c>
    </row>
    <row r="21" customFormat="false" ht="15" hidden="false" customHeight="false" outlineLevel="0" collapsed="false">
      <c r="A21" s="4" t="s">
        <v>25</v>
      </c>
      <c r="B21" s="5" t="n">
        <v>709360</v>
      </c>
      <c r="C21" s="6" t="n">
        <f aca="false">B21*B17</f>
        <v>1022454.25435096</v>
      </c>
    </row>
    <row r="22" customFormat="false" ht="15" hidden="false" customHeight="false" outlineLevel="0" collapsed="false">
      <c r="A22" s="4" t="s">
        <v>26</v>
      </c>
      <c r="B22" s="5" t="n">
        <v>417200</v>
      </c>
      <c r="C22" s="6" t="n">
        <f aca="false">B22*B17</f>
        <v>601341.934864131</v>
      </c>
    </row>
    <row r="23" customFormat="false" ht="15" hidden="false" customHeight="false" outlineLevel="0" collapsed="false">
      <c r="A23" s="4" t="s">
        <v>27</v>
      </c>
      <c r="B23" s="5" t="n">
        <v>619520</v>
      </c>
      <c r="C23" s="6" t="n">
        <f aca="false">B23*B17</f>
        <v>892961.063008212</v>
      </c>
    </row>
    <row r="24" customFormat="false" ht="15" hidden="false" customHeight="false" outlineLevel="0" collapsed="false">
      <c r="A24" s="4" t="s">
        <v>28</v>
      </c>
      <c r="B24" s="5" t="n">
        <v>256693</v>
      </c>
      <c r="C24" s="6" t="n">
        <f aca="false">B24*B17</f>
        <v>369991.048144962</v>
      </c>
    </row>
    <row r="25" customFormat="false" ht="15" hidden="false" customHeight="false" outlineLevel="0" collapsed="false">
      <c r="A25" s="4" t="s">
        <v>29</v>
      </c>
      <c r="B25" s="5" t="n">
        <v>340800</v>
      </c>
      <c r="C25" s="6" t="n">
        <f aca="false">B25*B17</f>
        <v>491220.832698216</v>
      </c>
    </row>
    <row r="26" customFormat="false" ht="15" hidden="false" customHeight="false" outlineLevel="0" collapsed="false">
      <c r="A26" s="4" t="s">
        <v>30</v>
      </c>
      <c r="B26" s="5" t="n">
        <v>237600</v>
      </c>
      <c r="C26" s="6" t="n">
        <f aca="false">B26*B17</f>
        <v>342470.862233263</v>
      </c>
    </row>
    <row r="27" customFormat="false" ht="15" hidden="false" customHeight="false" outlineLevel="0" collapsed="false">
      <c r="A27" s="8" t="s">
        <v>31</v>
      </c>
      <c r="B27" s="9" t="n">
        <v>2998133</v>
      </c>
      <c r="C27" s="9" t="n">
        <f aca="false">B15</f>
        <v>4321436</v>
      </c>
    </row>
    <row r="29" customFormat="false" ht="15" hidden="false" customHeight="false" outlineLevel="0" collapsed="false">
      <c r="A29" s="2" t="s">
        <v>32</v>
      </c>
    </row>
    <row r="30" customFormat="false" ht="15" hidden="false" customHeight="false" outlineLevel="0" collapsed="false">
      <c r="A30" s="4" t="s">
        <v>33</v>
      </c>
      <c r="B30" s="16" t="s">
        <v>34</v>
      </c>
    </row>
    <row r="31" customFormat="false" ht="15" hidden="false" customHeight="false" outlineLevel="0" collapsed="false">
      <c r="A31" s="4" t="s">
        <v>35</v>
      </c>
      <c r="B31" s="5" t="n">
        <f aca="false">B14/0.382</f>
        <v>5189005.23560209</v>
      </c>
    </row>
    <row r="32" customFormat="false" ht="15" hidden="false" customHeight="false" outlineLevel="0" collapsed="false">
      <c r="A32" s="4" t="s">
        <v>36</v>
      </c>
    </row>
    <row r="33" customFormat="false" ht="15" hidden="false" customHeight="false" outlineLevel="0" collapsed="false">
      <c r="A33" s="17" t="s">
        <v>37</v>
      </c>
    </row>
    <row r="34" customFormat="false" ht="15" hidden="false" customHeight="false" outlineLevel="0" collapsed="false">
      <c r="A34" s="18" t="s">
        <v>38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49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9" width="56"/>
    <col collapsed="false" customWidth="true" hidden="false" outlineLevel="0" max="2" min="2" style="19" width="18"/>
    <col collapsed="false" customWidth="true" hidden="false" outlineLevel="0" max="3" min="3" style="19" width="15"/>
    <col collapsed="false" customWidth="true" hidden="false" outlineLevel="0" max="4" min="4" style="19" width="14"/>
    <col collapsed="false" customWidth="true" hidden="false" outlineLevel="0" max="5" min="5" style="19" width="16"/>
  </cols>
  <sheetData>
    <row r="1" customFormat="false" ht="15.75" hidden="false" customHeight="true" outlineLevel="0" collapsed="false">
      <c r="A1" s="20" t="s">
        <v>39</v>
      </c>
    </row>
    <row r="3" customFormat="false" ht="15" hidden="false" customHeight="true" outlineLevel="0" collapsed="false">
      <c r="A3" s="21" t="s">
        <v>40</v>
      </c>
      <c r="B3" s="22"/>
    </row>
    <row r="4" customFormat="false" ht="15" hidden="false" customHeight="true" outlineLevel="0" collapsed="false">
      <c r="A4" s="23" t="s">
        <v>41</v>
      </c>
      <c r="B4" s="24" t="n">
        <v>1750000</v>
      </c>
    </row>
    <row r="5" customFormat="false" ht="15" hidden="false" customHeight="true" outlineLevel="0" collapsed="false">
      <c r="A5" s="23" t="s">
        <v>42</v>
      </c>
      <c r="B5" s="25" t="n">
        <v>450000</v>
      </c>
      <c r="C5" s="26" t="s">
        <v>43</v>
      </c>
    </row>
    <row r="6" customFormat="false" ht="15" hidden="false" customHeight="true" outlineLevel="0" collapsed="false">
      <c r="A6" s="23" t="s">
        <v>44</v>
      </c>
      <c r="B6" s="27" t="n">
        <v>1.3</v>
      </c>
    </row>
    <row r="7" customFormat="false" ht="15" hidden="false" customHeight="true" outlineLevel="0" collapsed="false">
      <c r="A7" s="23" t="s">
        <v>45</v>
      </c>
      <c r="B7" s="28" t="n">
        <f aca="false">B5*B6</f>
        <v>585000</v>
      </c>
      <c r="C7" s="29" t="s">
        <v>46</v>
      </c>
    </row>
    <row r="8" customFormat="false" ht="15" hidden="false" customHeight="true" outlineLevel="0" collapsed="false">
      <c r="A8" s="23" t="s">
        <v>47</v>
      </c>
      <c r="B8" s="30" t="n">
        <f aca="false">B4+B7</f>
        <v>2335000</v>
      </c>
    </row>
    <row r="9" customFormat="false" ht="15" hidden="false" customHeight="true" outlineLevel="0" collapsed="false">
      <c r="A9" s="23" t="s">
        <v>48</v>
      </c>
      <c r="B9" s="31" t="n">
        <v>0.47</v>
      </c>
    </row>
    <row r="11" customFormat="false" ht="15" hidden="false" customHeight="true" outlineLevel="0" collapsed="false">
      <c r="A11" s="21" t="s">
        <v>49</v>
      </c>
      <c r="B11" s="22"/>
    </row>
    <row r="12" customFormat="false" ht="15" hidden="false" customHeight="true" outlineLevel="0" collapsed="false">
      <c r="A12" s="23" t="s">
        <v>50</v>
      </c>
      <c r="B12" s="32" t="n">
        <f aca="false">$B$8/$B$9</f>
        <v>4968085.10638298</v>
      </c>
    </row>
    <row r="13" customFormat="false" ht="15" hidden="false" customHeight="true" outlineLevel="0" collapsed="false">
      <c r="A13" s="23" t="s">
        <v>51</v>
      </c>
      <c r="B13" s="33" t="n">
        <f aca="false">($B$8+800000)/$B$9</f>
        <v>6670212.76595745</v>
      </c>
    </row>
    <row r="14" customFormat="false" ht="15" hidden="false" customHeight="true" outlineLevel="0" collapsed="false">
      <c r="A14" s="23" t="s">
        <v>52</v>
      </c>
      <c r="B14" s="33" t="n">
        <f aca="false">($B$8+1000000)/$B$9</f>
        <v>7095744.68085107</v>
      </c>
    </row>
    <row r="16" customFormat="false" ht="15" hidden="false" customHeight="true" outlineLevel="0" collapsed="false">
      <c r="A16" s="21" t="s">
        <v>53</v>
      </c>
      <c r="B16" s="22"/>
    </row>
    <row r="17" customFormat="false" ht="15" hidden="false" customHeight="true" outlineLevel="0" collapsed="false">
      <c r="A17" s="23" t="s">
        <v>54</v>
      </c>
      <c r="B17" s="34" t="n">
        <f aca="false">B7/$B$9</f>
        <v>1244680.85106383</v>
      </c>
    </row>
    <row r="18" customFormat="false" ht="15" hidden="false" customHeight="true" outlineLevel="0" collapsed="false">
      <c r="A18" s="23" t="s">
        <v>55</v>
      </c>
      <c r="B18" s="35" t="n">
        <f aca="false">B7/$B$9</f>
        <v>1244680.85106383</v>
      </c>
    </row>
    <row r="19" customFormat="false" ht="15" hidden="false" customHeight="true" outlineLevel="0" collapsed="false">
      <c r="A19" s="29" t="s">
        <v>56</v>
      </c>
    </row>
    <row r="21" customFormat="false" ht="15" hidden="false" customHeight="true" outlineLevel="0" collapsed="false">
      <c r="A21" s="21" t="s">
        <v>57</v>
      </c>
      <c r="B21" s="22"/>
      <c r="C21" s="22"/>
      <c r="D21" s="22"/>
    </row>
    <row r="22" customFormat="false" ht="15" hidden="false" customHeight="true" outlineLevel="0" collapsed="false">
      <c r="A22" s="36" t="s">
        <v>2</v>
      </c>
      <c r="B22" s="36" t="s">
        <v>58</v>
      </c>
      <c r="C22" s="36" t="s">
        <v>4</v>
      </c>
      <c r="D22" s="36" t="s">
        <v>59</v>
      </c>
      <c r="E22" s="37" t="s">
        <v>60</v>
      </c>
    </row>
    <row r="23" customFormat="false" ht="15" hidden="false" customHeight="true" outlineLevel="0" collapsed="false">
      <c r="A23" s="23" t="s">
        <v>61</v>
      </c>
      <c r="B23" s="35" t="n">
        <v>2083205</v>
      </c>
      <c r="C23" s="24" t="n">
        <v>2053636</v>
      </c>
      <c r="D23" s="35" t="n">
        <f aca="false">C23-B23</f>
        <v>-29569</v>
      </c>
      <c r="E23" s="35" t="n">
        <v>900200</v>
      </c>
    </row>
    <row r="24" customFormat="false" ht="15" hidden="false" customHeight="true" outlineLevel="0" collapsed="false">
      <c r="A24" s="23" t="s">
        <v>62</v>
      </c>
      <c r="B24" s="35" t="n">
        <v>1599192</v>
      </c>
      <c r="C24" s="24" t="n">
        <v>2400000</v>
      </c>
      <c r="D24" s="28" t="n">
        <f aca="false">C24-B24</f>
        <v>800808</v>
      </c>
      <c r="E24" s="35" t="n">
        <v>643600</v>
      </c>
    </row>
    <row r="25" customFormat="false" ht="15" hidden="false" customHeight="true" outlineLevel="0" collapsed="false">
      <c r="A25" s="23" t="s">
        <v>63</v>
      </c>
      <c r="B25" s="35" t="n">
        <v>532320</v>
      </c>
      <c r="C25" s="24" t="n">
        <v>1200000</v>
      </c>
      <c r="D25" s="28" t="n">
        <f aca="false">C25-B25</f>
        <v>667680</v>
      </c>
      <c r="E25" s="35" t="n">
        <v>438400</v>
      </c>
    </row>
    <row r="26" customFormat="false" ht="15" hidden="false" customHeight="true" outlineLevel="0" collapsed="false">
      <c r="A26" s="38" t="s">
        <v>64</v>
      </c>
      <c r="B26" s="39" t="n">
        <v>642800</v>
      </c>
      <c r="C26" s="40" t="n">
        <v>0</v>
      </c>
      <c r="D26" s="41" t="n">
        <f aca="false">C26-B26</f>
        <v>-642800</v>
      </c>
      <c r="E26" s="39" t="n">
        <v>0</v>
      </c>
    </row>
    <row r="27" customFormat="false" ht="15" hidden="false" customHeight="true" outlineLevel="0" collapsed="false">
      <c r="A27" s="23" t="s">
        <v>65</v>
      </c>
      <c r="B27" s="35" t="n">
        <v>0</v>
      </c>
      <c r="C27" s="24" t="n">
        <v>650000</v>
      </c>
      <c r="D27" s="35" t="n">
        <f aca="false">C27-B27</f>
        <v>650000</v>
      </c>
      <c r="E27" s="35" t="n">
        <v>0</v>
      </c>
    </row>
    <row r="28" customFormat="false" ht="15" hidden="false" customHeight="true" outlineLevel="0" collapsed="false">
      <c r="A28" s="42" t="s">
        <v>66</v>
      </c>
      <c r="B28" s="30" t="n">
        <f aca="false">SUM(B23:B27)</f>
        <v>4857517</v>
      </c>
      <c r="C28" s="30" t="n">
        <f aca="false">SUM(C23:C27)</f>
        <v>6303636</v>
      </c>
      <c r="D28" s="30" t="n">
        <f aca="false">SUM(D23:D27)</f>
        <v>1446119</v>
      </c>
      <c r="E28" s="30" t="n">
        <f aca="false">SUM(E23:E27)</f>
        <v>1982200</v>
      </c>
    </row>
    <row r="30" customFormat="false" ht="15" hidden="false" customHeight="true" outlineLevel="0" collapsed="false">
      <c r="A30" s="43" t="s">
        <v>67</v>
      </c>
      <c r="B30" s="33" t="n">
        <f aca="false">$B$9*C28-$B$8</f>
        <v>627708.92</v>
      </c>
    </row>
    <row r="31" customFormat="false" ht="15" hidden="false" customHeight="true" outlineLevel="0" collapsed="false">
      <c r="A31" s="23" t="s">
        <v>68</v>
      </c>
      <c r="B31" s="35" t="n">
        <f aca="false">$B$9*B28-$B$8</f>
        <v>-51967.0100000002</v>
      </c>
    </row>
    <row r="32" customFormat="false" ht="15" hidden="false" customHeight="true" outlineLevel="0" collapsed="false">
      <c r="A32" s="23" t="s">
        <v>69</v>
      </c>
      <c r="B32" s="41" t="n">
        <f aca="false">$B$9*(B28-606800)-$B$8</f>
        <v>-337163.01</v>
      </c>
    </row>
    <row r="34" customFormat="false" ht="15" hidden="false" customHeight="true" outlineLevel="0" collapsed="false">
      <c r="A34" s="29" t="s">
        <v>70</v>
      </c>
    </row>
    <row r="35" customFormat="false" ht="15" hidden="false" customHeight="true" outlineLevel="0" collapsed="false">
      <c r="A35" s="29" t="s">
        <v>71</v>
      </c>
    </row>
    <row r="36" customFormat="false" ht="15" hidden="false" customHeight="true" outlineLevel="0" collapsed="false">
      <c r="A36" s="44" t="s">
        <v>72</v>
      </c>
    </row>
    <row r="39" customFormat="false" ht="15" hidden="false" customHeight="true" outlineLevel="0" collapsed="false">
      <c r="A39" s="21" t="s">
        <v>73</v>
      </c>
      <c r="B39" s="22"/>
      <c r="C39" s="22"/>
    </row>
    <row r="40" customFormat="false" ht="15" hidden="false" customHeight="true" outlineLevel="0" collapsed="false">
      <c r="A40" s="36" t="s">
        <v>74</v>
      </c>
      <c r="B40" s="36" t="s">
        <v>75</v>
      </c>
      <c r="C40" s="36" t="s">
        <v>76</v>
      </c>
    </row>
    <row r="41" customFormat="false" ht="15" hidden="false" customHeight="true" outlineLevel="0" collapsed="false">
      <c r="A41" s="38" t="s">
        <v>77</v>
      </c>
      <c r="B41" s="39" t="n">
        <v>412184</v>
      </c>
      <c r="C41" s="38" t="s">
        <v>78</v>
      </c>
    </row>
    <row r="42" customFormat="false" ht="15" hidden="false" customHeight="true" outlineLevel="0" collapsed="false">
      <c r="A42" s="38" t="s">
        <v>79</v>
      </c>
      <c r="B42" s="39" t="n">
        <v>220000</v>
      </c>
      <c r="C42" s="38" t="s">
        <v>80</v>
      </c>
    </row>
    <row r="43" customFormat="false" ht="15" hidden="false" customHeight="true" outlineLevel="0" collapsed="false">
      <c r="A43" s="38" t="s">
        <v>81</v>
      </c>
      <c r="B43" s="39" t="n">
        <v>120000</v>
      </c>
      <c r="C43" s="38" t="s">
        <v>82</v>
      </c>
    </row>
    <row r="44" customFormat="false" ht="15" hidden="false" customHeight="true" outlineLevel="0" collapsed="false">
      <c r="A44" s="23" t="s">
        <v>83</v>
      </c>
      <c r="B44" s="35" t="n">
        <v>60000</v>
      </c>
      <c r="C44" s="23" t="s">
        <v>84</v>
      </c>
    </row>
    <row r="45" customFormat="false" ht="15" hidden="false" customHeight="true" outlineLevel="0" collapsed="false">
      <c r="A45" s="23" t="s">
        <v>85</v>
      </c>
      <c r="B45" s="35" t="n">
        <v>688312</v>
      </c>
      <c r="C45" s="23" t="s">
        <v>86</v>
      </c>
    </row>
    <row r="47" customFormat="false" ht="15" hidden="false" customHeight="true" outlineLevel="0" collapsed="false">
      <c r="A47" s="44" t="s">
        <v>87</v>
      </c>
    </row>
    <row r="48" customFormat="false" ht="15" hidden="false" customHeight="true" outlineLevel="0" collapsed="false">
      <c r="A48" s="44" t="s">
        <v>88</v>
      </c>
    </row>
    <row r="49" customFormat="false" ht="15" hidden="false" customHeight="true" outlineLevel="0" collapsed="false">
      <c r="A49" s="29" t="s">
        <v>89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75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9" width="46"/>
    <col collapsed="false" customWidth="true" hidden="false" outlineLevel="0" max="2" min="2" style="19" width="16"/>
    <col collapsed="false" customWidth="true" hidden="false" outlineLevel="0" max="3" min="3" style="19" width="30"/>
  </cols>
  <sheetData>
    <row r="1" customFormat="false" ht="17.25" hidden="false" customHeight="true" outlineLevel="0" collapsed="false">
      <c r="A1" s="45" t="s">
        <v>90</v>
      </c>
    </row>
    <row r="3" customFormat="false" ht="15" hidden="false" customHeight="true" outlineLevel="0" collapsed="false">
      <c r="A3" s="21" t="s">
        <v>91</v>
      </c>
      <c r="B3" s="22"/>
    </row>
    <row r="4" customFormat="false" ht="15" hidden="false" customHeight="true" outlineLevel="0" collapsed="false">
      <c r="A4" s="46" t="s">
        <v>92</v>
      </c>
      <c r="B4" s="47" t="n">
        <v>130160</v>
      </c>
    </row>
    <row r="5" customFormat="false" ht="15" hidden="false" customHeight="true" outlineLevel="0" collapsed="false">
      <c r="A5" s="46" t="s">
        <v>93</v>
      </c>
      <c r="B5" s="48" t="n">
        <f aca="false">B4*7.1</f>
        <v>924136</v>
      </c>
    </row>
    <row r="6" customFormat="false" ht="15" hidden="false" customHeight="true" outlineLevel="0" collapsed="false">
      <c r="A6" s="46" t="s">
        <v>94</v>
      </c>
      <c r="B6" s="47" t="n">
        <v>713018</v>
      </c>
    </row>
    <row r="7" customFormat="false" ht="15" hidden="false" customHeight="true" outlineLevel="0" collapsed="false">
      <c r="A7" s="46" t="s">
        <v>95</v>
      </c>
      <c r="B7" s="49" t="n">
        <v>0.434</v>
      </c>
    </row>
    <row r="8" customFormat="false" ht="15" hidden="false" customHeight="true" outlineLevel="0" collapsed="false">
      <c r="A8" s="46" t="s">
        <v>96</v>
      </c>
      <c r="B8" s="49" t="n">
        <v>0.464</v>
      </c>
    </row>
    <row r="9" customFormat="false" ht="15" hidden="false" customHeight="true" outlineLevel="0" collapsed="false">
      <c r="A9" s="46" t="s">
        <v>97</v>
      </c>
      <c r="B9" s="49" t="n">
        <v>0.141</v>
      </c>
    </row>
    <row r="10" customFormat="false" ht="15" hidden="false" customHeight="true" outlineLevel="0" collapsed="false">
      <c r="A10" s="46" t="s">
        <v>98</v>
      </c>
      <c r="B10" s="49" t="n">
        <v>0.22</v>
      </c>
    </row>
    <row r="11" customFormat="false" ht="15" hidden="false" customHeight="true" outlineLevel="0" collapsed="false">
      <c r="A11" s="46" t="s">
        <v>99</v>
      </c>
      <c r="B11" s="49" t="n">
        <v>0.3784</v>
      </c>
    </row>
    <row r="12" customFormat="false" ht="15" hidden="false" customHeight="true" outlineLevel="0" collapsed="false">
      <c r="A12" s="46" t="s">
        <v>100</v>
      </c>
      <c r="B12" s="47" t="n">
        <v>2027519</v>
      </c>
    </row>
    <row r="13" customFormat="false" ht="15" hidden="false" customHeight="true" outlineLevel="0" collapsed="false">
      <c r="A13" s="46" t="s">
        <v>101</v>
      </c>
      <c r="B13" s="47" t="n">
        <v>51322</v>
      </c>
    </row>
    <row r="14" customFormat="false" ht="15" hidden="false" customHeight="true" outlineLevel="0" collapsed="false">
      <c r="A14" s="46" t="s">
        <v>102</v>
      </c>
      <c r="B14" s="49" t="n">
        <v>0.07</v>
      </c>
    </row>
    <row r="16" customFormat="false" ht="15" hidden="false" customHeight="true" outlineLevel="0" collapsed="false">
      <c r="A16" s="21" t="s">
        <v>103</v>
      </c>
      <c r="B16" s="22"/>
    </row>
    <row r="17" customFormat="false" ht="15" hidden="false" customHeight="true" outlineLevel="0" collapsed="false">
      <c r="A17" s="23" t="s">
        <v>104</v>
      </c>
      <c r="B17" s="50" t="n">
        <f aca="false">$B$13/$B$12</f>
        <v>0.0253127097699208</v>
      </c>
    </row>
    <row r="18" customFormat="false" ht="15" hidden="false" customHeight="true" outlineLevel="0" collapsed="false">
      <c r="A18" s="23" t="s">
        <v>105</v>
      </c>
      <c r="B18" s="35" t="n">
        <f aca="false">$B$12*$B$14</f>
        <v>141926.33</v>
      </c>
    </row>
    <row r="19" customFormat="false" ht="15" hidden="false" customHeight="true" outlineLevel="0" collapsed="false">
      <c r="A19" s="23" t="s">
        <v>106</v>
      </c>
      <c r="B19" s="35" t="n">
        <f aca="false">$B$12*$B$14-$B$13</f>
        <v>90604.33</v>
      </c>
    </row>
    <row r="20" customFormat="false" ht="15" hidden="false" customHeight="true" outlineLevel="0" collapsed="false">
      <c r="A20" s="23" t="s">
        <v>107</v>
      </c>
      <c r="B20" s="35" t="n">
        <f aca="false">($B$12*$B$14-$B$13)*$B$10</f>
        <v>19932.9526</v>
      </c>
    </row>
    <row r="21" customFormat="false" ht="15" hidden="false" customHeight="true" outlineLevel="0" collapsed="false">
      <c r="A21" s="23" t="s">
        <v>108</v>
      </c>
      <c r="B21" s="35" t="n">
        <f aca="false">$B$5*$B$14</f>
        <v>64689.52</v>
      </c>
    </row>
    <row r="23" customFormat="false" ht="15" hidden="false" customHeight="true" outlineLevel="0" collapsed="false">
      <c r="A23" s="21" t="s">
        <v>109</v>
      </c>
      <c r="B23" s="22"/>
    </row>
    <row r="24" customFormat="false" ht="15" hidden="false" customHeight="true" outlineLevel="0" collapsed="false">
      <c r="A24" s="23" t="s">
        <v>110</v>
      </c>
      <c r="B24" s="50" t="n">
        <f aca="false">(1-$B$7)/(1+$B$9)</f>
        <v>0.496056091148116</v>
      </c>
      <c r="C24" s="29" t="s">
        <v>111</v>
      </c>
    </row>
    <row r="25" customFormat="false" ht="15" hidden="false" customHeight="true" outlineLevel="0" collapsed="false">
      <c r="A25" s="23" t="s">
        <v>112</v>
      </c>
      <c r="B25" s="50" t="n">
        <f aca="false">(1-$B$8)/(1+$B$9)</f>
        <v>0.469763365468887</v>
      </c>
      <c r="C25" s="29" t="s">
        <v>113</v>
      </c>
    </row>
    <row r="26" customFormat="false" ht="15" hidden="false" customHeight="true" outlineLevel="0" collapsed="false">
      <c r="A26" s="23" t="s">
        <v>114</v>
      </c>
      <c r="B26" s="50" t="n">
        <f aca="false">(1-$B$10)*(1-$B$11)</f>
        <v>0.484848</v>
      </c>
      <c r="C26" s="29" t="s">
        <v>115</v>
      </c>
    </row>
    <row r="27" customFormat="false" ht="15" hidden="false" customHeight="true" outlineLevel="0" collapsed="false">
      <c r="A27" s="51" t="s">
        <v>116</v>
      </c>
    </row>
    <row r="29" customFormat="false" ht="15" hidden="false" customHeight="true" outlineLevel="0" collapsed="false">
      <c r="A29" s="21" t="s">
        <v>117</v>
      </c>
      <c r="B29" s="22"/>
    </row>
    <row r="30" customFormat="false" ht="15" hidden="false" customHeight="true" outlineLevel="0" collapsed="false">
      <c r="A30" s="23" t="s">
        <v>118</v>
      </c>
      <c r="B30" s="35" t="n">
        <f aca="false">$B$5</f>
        <v>924136</v>
      </c>
    </row>
    <row r="31" customFormat="false" ht="15" hidden="false" customHeight="true" outlineLevel="0" collapsed="false">
      <c r="A31" s="23" t="s">
        <v>119</v>
      </c>
      <c r="B31" s="35" t="n">
        <f aca="false">$B$5-$B$6</f>
        <v>211118</v>
      </c>
    </row>
    <row r="32" customFormat="false" ht="15" hidden="false" customHeight="true" outlineLevel="0" collapsed="false">
      <c r="A32" s="23" t="s">
        <v>120</v>
      </c>
      <c r="B32" s="35" t="n">
        <f aca="false">$B$5*$B$14</f>
        <v>64689.52</v>
      </c>
    </row>
    <row r="33" customFormat="false" ht="15" hidden="false" customHeight="true" outlineLevel="0" collapsed="false">
      <c r="A33" s="23" t="s">
        <v>121</v>
      </c>
      <c r="B33" s="35" t="n">
        <f aca="false">$B$5*$B$9</f>
        <v>130303.176</v>
      </c>
    </row>
    <row r="34" customFormat="false" ht="15" hidden="false" customHeight="true" outlineLevel="0" collapsed="false">
      <c r="A34" s="52" t="s">
        <v>122</v>
      </c>
      <c r="B34" s="28" t="n">
        <f aca="false">$B$5*(1+$B$14+$B$9)</f>
        <v>1119128.696</v>
      </c>
    </row>
    <row r="35" customFormat="false" ht="15" hidden="false" customHeight="true" outlineLevel="0" collapsed="false">
      <c r="A35" s="23" t="s">
        <v>123</v>
      </c>
      <c r="B35" s="35" t="n">
        <v>33334</v>
      </c>
    </row>
    <row r="36" customFormat="false" ht="15" hidden="false" customHeight="true" outlineLevel="0" collapsed="false">
      <c r="A36" s="29" t="s">
        <v>124</v>
      </c>
    </row>
    <row r="38" customFormat="false" ht="15" hidden="false" customHeight="true" outlineLevel="0" collapsed="false">
      <c r="A38" s="21" t="s">
        <v>125</v>
      </c>
      <c r="B38" s="22"/>
    </row>
    <row r="39" customFormat="false" ht="15" hidden="false" customHeight="true" outlineLevel="0" collapsed="false">
      <c r="A39" s="46" t="s">
        <v>126</v>
      </c>
      <c r="B39" s="49" t="n">
        <v>0.06</v>
      </c>
    </row>
    <row r="40" customFormat="false" ht="15" hidden="false" customHeight="true" outlineLevel="0" collapsed="false">
      <c r="A40" s="46" t="s">
        <v>127</v>
      </c>
      <c r="B40" s="49" t="n">
        <v>0.45</v>
      </c>
    </row>
    <row r="41" customFormat="false" ht="15" hidden="false" customHeight="true" outlineLevel="0" collapsed="false">
      <c r="A41" s="23" t="s">
        <v>128</v>
      </c>
      <c r="B41" s="35" t="n">
        <f aca="false">$B$5</f>
        <v>924136</v>
      </c>
    </row>
    <row r="43" customFormat="false" ht="15" hidden="false" customHeight="true" outlineLevel="0" collapsed="false">
      <c r="A43" s="52" t="s">
        <v>129</v>
      </c>
      <c r="B43" s="28" t="n">
        <f aca="false">$B$5/$B$40</f>
        <v>2053635.55555556</v>
      </c>
    </row>
    <row r="44" customFormat="false" ht="15" hidden="false" customHeight="true" outlineLevel="0" collapsed="false">
      <c r="A44" s="23" t="s">
        <v>130</v>
      </c>
      <c r="B44" s="35" t="n">
        <f aca="false">$B$5/$B$40*1.25</f>
        <v>2567044.44444444</v>
      </c>
    </row>
    <row r="45" customFormat="false" ht="15" hidden="false" customHeight="true" outlineLevel="0" collapsed="false">
      <c r="A45" s="52" t="s">
        <v>131</v>
      </c>
      <c r="B45" s="28" t="n">
        <f aca="false">$B$5/$B$40*1.25/$B$39</f>
        <v>42784074.0740741</v>
      </c>
    </row>
    <row r="47" customFormat="false" ht="15" hidden="false" customHeight="true" outlineLevel="0" collapsed="false">
      <c r="A47" s="53" t="s">
        <v>132</v>
      </c>
    </row>
    <row r="48" customFormat="false" ht="15" hidden="false" customHeight="true" outlineLevel="0" collapsed="false">
      <c r="A48" s="23" t="s">
        <v>133</v>
      </c>
      <c r="B48" s="35" t="n">
        <f aca="false">$B$6/$B$40</f>
        <v>1584484.44444444</v>
      </c>
    </row>
    <row r="49" customFormat="false" ht="15" hidden="false" customHeight="true" outlineLevel="0" collapsed="false">
      <c r="A49" s="23" t="s">
        <v>134</v>
      </c>
      <c r="B49" s="35" t="n">
        <f aca="false">$B$6/$B$40*1.25/$B$39</f>
        <v>33010092.5925926</v>
      </c>
    </row>
    <row r="50" customFormat="false" ht="15" hidden="false" customHeight="true" outlineLevel="0" collapsed="false">
      <c r="A50" s="52" t="s">
        <v>135</v>
      </c>
      <c r="B50" s="28" t="n">
        <f aca="false">($B$5-$B$6)/$B$40*1.25/$B$39</f>
        <v>9773981.48148148</v>
      </c>
    </row>
    <row r="51" customFormat="false" ht="15" hidden="false" customHeight="true" outlineLevel="0" collapsed="false">
      <c r="A51" s="23" t="s">
        <v>136</v>
      </c>
      <c r="B51" s="50" t="n">
        <f aca="false">$B$5/$B$6-1</f>
        <v>0.296090701777515</v>
      </c>
    </row>
    <row r="53" customFormat="false" ht="15" hidden="false" customHeight="true" outlineLevel="0" collapsed="false">
      <c r="A53" s="29" t="s">
        <v>137</v>
      </c>
    </row>
    <row r="54" customFormat="false" ht="15" hidden="false" customHeight="true" outlineLevel="0" collapsed="false">
      <c r="A54" s="54" t="s">
        <v>138</v>
      </c>
    </row>
    <row r="56" customFormat="false" ht="15" hidden="false" customHeight="true" outlineLevel="0" collapsed="false">
      <c r="A56" s="21" t="s">
        <v>139</v>
      </c>
      <c r="B56" s="22"/>
      <c r="C56" s="22"/>
    </row>
    <row r="57" customFormat="false" ht="15" hidden="false" customHeight="true" outlineLevel="0" collapsed="false">
      <c r="A57" s="36" t="s">
        <v>140</v>
      </c>
      <c r="B57" s="36" t="s">
        <v>141</v>
      </c>
      <c r="C57" s="36" t="s">
        <v>142</v>
      </c>
    </row>
    <row r="58" customFormat="false" ht="15" hidden="false" customHeight="true" outlineLevel="0" collapsed="false">
      <c r="A58" s="55" t="s">
        <v>143</v>
      </c>
      <c r="B58" s="24" t="n">
        <v>3646840</v>
      </c>
      <c r="C58" s="56" t="n">
        <f aca="false">B58*$B$40</f>
        <v>1641078</v>
      </c>
    </row>
    <row r="59" customFormat="false" ht="15" hidden="false" customHeight="true" outlineLevel="0" collapsed="false">
      <c r="A59" s="55" t="s">
        <v>144</v>
      </c>
      <c r="B59" s="24" t="n">
        <v>2083205</v>
      </c>
      <c r="C59" s="56" t="n">
        <f aca="false">B59*$B$40</f>
        <v>937442.25</v>
      </c>
    </row>
    <row r="60" customFormat="false" ht="15" hidden="false" customHeight="true" outlineLevel="0" collapsed="false">
      <c r="A60" s="55" t="s">
        <v>145</v>
      </c>
      <c r="B60" s="24" t="n">
        <v>900200</v>
      </c>
      <c r="C60" s="56" t="n">
        <f aca="false">B60*$B$40</f>
        <v>405090</v>
      </c>
    </row>
    <row r="62" customFormat="false" ht="15" hidden="false" customHeight="true" outlineLevel="0" collapsed="false">
      <c r="A62" s="23" t="s">
        <v>146</v>
      </c>
      <c r="B62" s="35" t="n">
        <f aca="false">B59*$B$40</f>
        <v>937442.25</v>
      </c>
    </row>
    <row r="63" customFormat="false" ht="15" hidden="false" customHeight="true" outlineLevel="0" collapsed="false">
      <c r="A63" s="23" t="s">
        <v>147</v>
      </c>
      <c r="B63" s="35" t="n">
        <f aca="false">$B$6</f>
        <v>713018</v>
      </c>
    </row>
    <row r="64" customFormat="false" ht="15" hidden="false" customHeight="true" outlineLevel="0" collapsed="false">
      <c r="A64" s="43" t="s">
        <v>148</v>
      </c>
      <c r="B64" s="33" t="n">
        <f aca="false">B62-$B$6</f>
        <v>224424.25</v>
      </c>
    </row>
    <row r="65" customFormat="false" ht="15" hidden="false" customHeight="true" outlineLevel="0" collapsed="false">
      <c r="A65" s="51" t="s">
        <v>149</v>
      </c>
    </row>
    <row r="67" customFormat="false" ht="15" hidden="false" customHeight="true" outlineLevel="0" collapsed="false">
      <c r="A67" s="21" t="s">
        <v>150</v>
      </c>
      <c r="B67" s="22"/>
    </row>
    <row r="68" customFormat="false" ht="15" hidden="false" customHeight="true" outlineLevel="0" collapsed="false">
      <c r="A68" s="23" t="s">
        <v>151</v>
      </c>
      <c r="B68" s="35" t="n">
        <v>116706</v>
      </c>
    </row>
    <row r="69" customFormat="false" ht="15" hidden="false" customHeight="true" outlineLevel="0" collapsed="false">
      <c r="A69" s="52" t="s">
        <v>152</v>
      </c>
      <c r="B69" s="28" t="n">
        <f aca="false">B68/(1-$B$7)</f>
        <v>206194.346289753</v>
      </c>
    </row>
    <row r="70" customFormat="false" ht="15" hidden="false" customHeight="true" outlineLevel="0" collapsed="false">
      <c r="A70" s="23" t="s">
        <v>153</v>
      </c>
      <c r="B70" s="35" t="n">
        <f aca="false">$B$6+B69</f>
        <v>919212.346289753</v>
      </c>
      <c r="C70" s="51" t="s">
        <v>154</v>
      </c>
    </row>
    <row r="71" customFormat="false" ht="15" hidden="false" customHeight="true" outlineLevel="0" collapsed="false">
      <c r="A71" s="23" t="s">
        <v>155</v>
      </c>
      <c r="B71" s="35" t="n">
        <f aca="false">B69*$B$9</f>
        <v>29073.4028268551</v>
      </c>
      <c r="C71" s="51"/>
    </row>
    <row r="72" customFormat="false" ht="15" hidden="false" customHeight="true" outlineLevel="0" collapsed="false">
      <c r="A72" s="52" t="s">
        <v>156</v>
      </c>
      <c r="B72" s="28" t="n">
        <f aca="false">B69*(1+$B$9)</f>
        <v>235267.749116608</v>
      </c>
    </row>
    <row r="73" customFormat="false" ht="15" hidden="false" customHeight="true" outlineLevel="0" collapsed="false">
      <c r="A73" s="23" t="s">
        <v>157</v>
      </c>
      <c r="B73" s="35" t="n">
        <f aca="false">B69*(1+$B$9)*$B$10</f>
        <v>51758.9048056537</v>
      </c>
    </row>
    <row r="74" customFormat="false" ht="15" hidden="false" customHeight="true" outlineLevel="0" collapsed="false">
      <c r="A74" s="51" t="s">
        <v>158</v>
      </c>
    </row>
    <row r="75" customFormat="false" ht="15" hidden="false" customHeight="true" outlineLevel="0" collapsed="false">
      <c r="A75" s="54" t="s">
        <v>159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4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9" width="58"/>
    <col collapsed="false" customWidth="true" hidden="false" outlineLevel="0" max="2" min="2" style="19" width="12"/>
    <col collapsed="false" customWidth="true" hidden="false" outlineLevel="0" max="3" min="3" style="19" width="14"/>
    <col collapsed="false" customWidth="true" hidden="false" outlineLevel="0" max="4" min="4" style="19" width="18"/>
    <col collapsed="false" customWidth="true" hidden="false" outlineLevel="0" max="5" min="5" style="19" width="34"/>
  </cols>
  <sheetData>
    <row r="1" customFormat="false" ht="15.75" hidden="false" customHeight="true" outlineLevel="0" collapsed="false">
      <c r="A1" s="20" t="s">
        <v>160</v>
      </c>
    </row>
    <row r="3" customFormat="false" ht="26.25" hidden="false" customHeight="true" outlineLevel="0" collapsed="false">
      <c r="A3" s="3" t="s">
        <v>161</v>
      </c>
      <c r="B3" s="3" t="s">
        <v>162</v>
      </c>
      <c r="C3" s="3" t="s">
        <v>163</v>
      </c>
      <c r="D3" s="3" t="s">
        <v>164</v>
      </c>
      <c r="E3" s="3" t="s">
        <v>165</v>
      </c>
    </row>
    <row r="4" customFormat="false" ht="15" hidden="false" customHeight="true" outlineLevel="0" collapsed="false">
      <c r="A4" s="57" t="s">
        <v>166</v>
      </c>
      <c r="B4" s="57" t="s">
        <v>167</v>
      </c>
      <c r="C4" s="57"/>
      <c r="D4" s="58" t="n">
        <v>617466</v>
      </c>
      <c r="E4" s="57" t="s">
        <v>168</v>
      </c>
    </row>
    <row r="5" customFormat="false" ht="15" hidden="false" customHeight="true" outlineLevel="0" collapsed="false">
      <c r="A5" s="59" t="s">
        <v>169</v>
      </c>
      <c r="B5" s="59" t="s">
        <v>170</v>
      </c>
      <c r="C5" s="60" t="n">
        <v>-150000</v>
      </c>
      <c r="D5" s="60" t="n">
        <v>467466</v>
      </c>
      <c r="E5" s="59" t="s">
        <v>171</v>
      </c>
    </row>
    <row r="6" customFormat="false" ht="15" hidden="false" customHeight="true" outlineLevel="0" collapsed="false">
      <c r="A6" s="59" t="s">
        <v>169</v>
      </c>
      <c r="B6" s="59" t="s">
        <v>172</v>
      </c>
      <c r="C6" s="60" t="n">
        <v>-300000</v>
      </c>
      <c r="D6" s="60" t="n">
        <v>167466</v>
      </c>
      <c r="E6" s="59" t="s">
        <v>173</v>
      </c>
    </row>
    <row r="7" customFormat="false" ht="26.25" hidden="false" customHeight="true" outlineLevel="0" collapsed="false">
      <c r="A7" s="61" t="s">
        <v>169</v>
      </c>
      <c r="B7" s="61" t="s">
        <v>174</v>
      </c>
      <c r="C7" s="62" t="n">
        <v>-134132</v>
      </c>
      <c r="D7" s="62" t="n">
        <v>33334</v>
      </c>
      <c r="E7" s="61" t="s">
        <v>175</v>
      </c>
    </row>
    <row r="8" customFormat="false" ht="15" hidden="false" customHeight="true" outlineLevel="0" collapsed="false">
      <c r="A8" s="57" t="s">
        <v>176</v>
      </c>
      <c r="B8" s="57"/>
      <c r="C8" s="58" t="n">
        <v>-584132</v>
      </c>
      <c r="D8" s="57"/>
      <c r="E8" s="57" t="s">
        <v>177</v>
      </c>
    </row>
    <row r="9" customFormat="false" ht="15" hidden="false" customHeight="true" outlineLevel="0" collapsed="false">
      <c r="A9" s="63" t="s">
        <v>178</v>
      </c>
      <c r="B9" s="63"/>
      <c r="C9" s="63"/>
      <c r="D9" s="64" t="n">
        <v>33334</v>
      </c>
      <c r="E9" s="63"/>
    </row>
    <row r="11" customFormat="false" ht="15" hidden="false" customHeight="true" outlineLevel="0" collapsed="false">
      <c r="A11" s="53" t="s">
        <v>179</v>
      </c>
    </row>
    <row r="12" customFormat="false" ht="15" hidden="false" customHeight="true" outlineLevel="0" collapsed="false">
      <c r="A12" s="65" t="s">
        <v>180</v>
      </c>
      <c r="D12" s="66" t="n">
        <v>150040</v>
      </c>
    </row>
    <row r="13" customFormat="false" ht="15" hidden="false" customHeight="true" outlineLevel="0" collapsed="false">
      <c r="A13" s="65" t="s">
        <v>181</v>
      </c>
      <c r="D13" s="66" t="n">
        <v>-33334</v>
      </c>
    </row>
    <row r="14" customFormat="false" ht="15" hidden="false" customHeight="true" outlineLevel="0" collapsed="false">
      <c r="A14" s="67" t="s">
        <v>182</v>
      </c>
      <c r="D14" s="68" t="n">
        <v>116706</v>
      </c>
    </row>
    <row r="16" customFormat="false" ht="15" hidden="false" customHeight="true" outlineLevel="0" collapsed="false">
      <c r="A16" s="29" t="s">
        <v>183</v>
      </c>
    </row>
    <row r="17" customFormat="false" ht="15" hidden="false" customHeight="true" outlineLevel="0" collapsed="false">
      <c r="A17" s="29" t="s">
        <v>184</v>
      </c>
    </row>
    <row r="18" customFormat="false" ht="15" hidden="false" customHeight="true" outlineLevel="0" collapsed="false">
      <c r="A18" s="54" t="s">
        <v>185</v>
      </c>
    </row>
    <row r="19" customFormat="false" ht="15" hidden="false" customHeight="true" outlineLevel="0" collapsed="false">
      <c r="A19" s="54" t="s">
        <v>186</v>
      </c>
    </row>
    <row r="20" customFormat="false" ht="15" hidden="false" customHeight="true" outlineLevel="0" collapsed="false">
      <c r="A20" s="69"/>
    </row>
    <row r="21" customFormat="false" ht="15" hidden="false" customHeight="true" outlineLevel="0" collapsed="false">
      <c r="A21" s="54" t="s">
        <v>187</v>
      </c>
    </row>
    <row r="22" customFormat="false" ht="15" hidden="false" customHeight="true" outlineLevel="0" collapsed="false">
      <c r="A22" s="51" t="s">
        <v>188</v>
      </c>
    </row>
    <row r="23" customFormat="false" ht="15" hidden="false" customHeight="true" outlineLevel="0" collapsed="false">
      <c r="A23" s="70" t="s">
        <v>189</v>
      </c>
    </row>
    <row r="24" customFormat="false" ht="15" hidden="false" customHeight="true" outlineLevel="0" collapsed="false">
      <c r="A24" s="70" t="s">
        <v>190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9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9" width="26"/>
    <col collapsed="false" customWidth="true" hidden="false" outlineLevel="0" max="2" min="2" style="19" width="30"/>
    <col collapsed="false" customWidth="true" hidden="false" outlineLevel="0" max="3" min="3" style="19" width="14"/>
    <col collapsed="false" customWidth="true" hidden="false" outlineLevel="0" max="4" min="4" style="19" width="46"/>
    <col collapsed="false" customWidth="true" hidden="false" outlineLevel="0" max="5" min="5" style="19" width="42"/>
  </cols>
  <sheetData>
    <row r="1" customFormat="false" ht="17.25" hidden="false" customHeight="true" outlineLevel="0" collapsed="false">
      <c r="A1" s="45" t="s">
        <v>191</v>
      </c>
    </row>
    <row r="2" customFormat="false" ht="15" hidden="false" customHeight="true" outlineLevel="0" collapsed="false">
      <c r="A2" s="71" t="s">
        <v>192</v>
      </c>
    </row>
    <row r="4" customFormat="false" ht="15" hidden="false" customHeight="true" outlineLevel="0" collapsed="false">
      <c r="A4" s="3" t="s">
        <v>193</v>
      </c>
      <c r="B4" s="3" t="s">
        <v>194</v>
      </c>
      <c r="C4" s="3" t="s">
        <v>195</v>
      </c>
      <c r="D4" s="3" t="s">
        <v>196</v>
      </c>
    </row>
    <row r="5" customFormat="false" ht="15" hidden="false" customHeight="true" outlineLevel="0" collapsed="false">
      <c r="A5" s="57" t="s">
        <v>197</v>
      </c>
      <c r="B5" s="57"/>
      <c r="C5" s="57"/>
      <c r="D5" s="57"/>
    </row>
    <row r="6" customFormat="false" ht="26.25" hidden="false" customHeight="true" outlineLevel="0" collapsed="false">
      <c r="A6" s="59" t="s">
        <v>198</v>
      </c>
      <c r="B6" s="59" t="s">
        <v>199</v>
      </c>
      <c r="C6" s="60" t="n">
        <v>75000</v>
      </c>
      <c r="D6" s="59" t="s">
        <v>200</v>
      </c>
    </row>
    <row r="7" customFormat="false" ht="15" hidden="false" customHeight="true" outlineLevel="0" collapsed="false">
      <c r="A7" s="59" t="s">
        <v>201</v>
      </c>
      <c r="B7" s="59" t="s">
        <v>202</v>
      </c>
      <c r="C7" s="60" t="n">
        <v>50000</v>
      </c>
      <c r="D7" s="59" t="s">
        <v>203</v>
      </c>
    </row>
    <row r="8" customFormat="false" ht="15" hidden="false" customHeight="true" outlineLevel="0" collapsed="false">
      <c r="A8" s="59" t="s">
        <v>204</v>
      </c>
      <c r="B8" s="59" t="s">
        <v>205</v>
      </c>
      <c r="C8" s="60" t="n">
        <v>24370</v>
      </c>
      <c r="D8" s="59" t="s">
        <v>206</v>
      </c>
    </row>
    <row r="9" customFormat="false" ht="15" hidden="false" customHeight="true" outlineLevel="0" collapsed="false">
      <c r="A9" s="59" t="s">
        <v>207</v>
      </c>
      <c r="B9" s="59" t="s">
        <v>208</v>
      </c>
      <c r="C9" s="60" t="n">
        <v>19715</v>
      </c>
      <c r="D9" s="59" t="s">
        <v>209</v>
      </c>
    </row>
    <row r="10" customFormat="false" ht="15" hidden="false" customHeight="true" outlineLevel="0" collapsed="false">
      <c r="A10" s="59" t="s">
        <v>210</v>
      </c>
      <c r="B10" s="59" t="s">
        <v>211</v>
      </c>
      <c r="C10" s="60" t="n">
        <v>5613</v>
      </c>
      <c r="D10" s="59" t="s">
        <v>212</v>
      </c>
    </row>
    <row r="11" customFormat="false" ht="15" hidden="false" customHeight="true" outlineLevel="0" collapsed="false">
      <c r="A11" s="72" t="s">
        <v>213</v>
      </c>
      <c r="B11" s="72"/>
      <c r="C11" s="73" t="n">
        <v>174898</v>
      </c>
      <c r="D11" s="72"/>
    </row>
    <row r="12" customFormat="false" ht="15" hidden="false" customHeight="true" outlineLevel="0" collapsed="false">
      <c r="A12" s="57" t="s">
        <v>214</v>
      </c>
      <c r="B12" s="57"/>
      <c r="C12" s="57"/>
      <c r="D12" s="57"/>
    </row>
    <row r="13" customFormat="false" ht="26.25" hidden="false" customHeight="true" outlineLevel="0" collapsed="false">
      <c r="A13" s="59" t="s">
        <v>215</v>
      </c>
      <c r="B13" s="59" t="s">
        <v>216</v>
      </c>
      <c r="C13" s="60" t="n">
        <v>-24858</v>
      </c>
      <c r="D13" s="59" t="s">
        <v>217</v>
      </c>
    </row>
    <row r="14" customFormat="false" ht="26.25" hidden="false" customHeight="true" outlineLevel="0" collapsed="false">
      <c r="A14" s="74" t="s">
        <v>218</v>
      </c>
      <c r="B14" s="74"/>
      <c r="C14" s="75" t="n">
        <v>150040</v>
      </c>
      <c r="D14" s="74"/>
    </row>
    <row r="16" customFormat="false" ht="15" hidden="false" customHeight="true" outlineLevel="0" collapsed="false">
      <c r="A16" s="70" t="s">
        <v>219</v>
      </c>
    </row>
    <row r="20" customFormat="false" ht="15" hidden="false" customHeight="true" outlineLevel="0" collapsed="false">
      <c r="A20" s="76" t="s">
        <v>220</v>
      </c>
    </row>
    <row r="21" customFormat="false" ht="15" hidden="false" customHeight="true" outlineLevel="0" collapsed="false">
      <c r="A21" s="3" t="s">
        <v>74</v>
      </c>
      <c r="B21" s="3" t="s">
        <v>162</v>
      </c>
      <c r="C21" s="3" t="s">
        <v>221</v>
      </c>
      <c r="D21" s="3" t="s">
        <v>222</v>
      </c>
      <c r="E21" s="3" t="s">
        <v>223</v>
      </c>
    </row>
    <row r="22" customFormat="false" ht="15" hidden="false" customHeight="true" outlineLevel="0" collapsed="false">
      <c r="A22" s="59" t="s">
        <v>224</v>
      </c>
      <c r="B22" s="59" t="s">
        <v>225</v>
      </c>
      <c r="C22" s="77" t="n">
        <v>50000</v>
      </c>
      <c r="D22" s="59" t="s">
        <v>226</v>
      </c>
      <c r="E22" s="59" t="s">
        <v>227</v>
      </c>
    </row>
    <row r="23" customFormat="false" ht="15" hidden="false" customHeight="true" outlineLevel="0" collapsed="false">
      <c r="A23" s="59" t="s">
        <v>228</v>
      </c>
      <c r="B23" s="59" t="s">
        <v>229</v>
      </c>
      <c r="C23" s="77" t="n">
        <v>10000</v>
      </c>
      <c r="D23" s="59" t="s">
        <v>226</v>
      </c>
      <c r="E23" s="59" t="s">
        <v>230</v>
      </c>
    </row>
    <row r="24" customFormat="false" ht="15" hidden="false" customHeight="true" outlineLevel="0" collapsed="false">
      <c r="A24" s="59" t="s">
        <v>228</v>
      </c>
      <c r="B24" s="59" t="s">
        <v>231</v>
      </c>
      <c r="C24" s="77" t="n">
        <v>15000</v>
      </c>
      <c r="D24" s="59" t="s">
        <v>226</v>
      </c>
      <c r="E24" s="59" t="s">
        <v>230</v>
      </c>
    </row>
    <row r="25" customFormat="false" ht="15" hidden="false" customHeight="true" outlineLevel="0" collapsed="false">
      <c r="A25" s="59" t="s">
        <v>232</v>
      </c>
      <c r="B25" s="59" t="s">
        <v>233</v>
      </c>
      <c r="C25" s="77" t="n">
        <v>50000</v>
      </c>
      <c r="D25" s="59" t="s">
        <v>234</v>
      </c>
      <c r="E25" s="59" t="s">
        <v>143</v>
      </c>
    </row>
    <row r="26" customFormat="false" ht="15" hidden="false" customHeight="true" outlineLevel="0" collapsed="false">
      <c r="A26" s="59" t="s">
        <v>235</v>
      </c>
      <c r="B26" s="59" t="s">
        <v>236</v>
      </c>
      <c r="C26" s="77" t="n">
        <v>24370</v>
      </c>
      <c r="D26" s="59" t="s">
        <v>237</v>
      </c>
      <c r="E26" s="59" t="s">
        <v>238</v>
      </c>
    </row>
    <row r="27" customFormat="false" ht="15" hidden="false" customHeight="true" outlineLevel="0" collapsed="false">
      <c r="A27" s="59" t="s">
        <v>239</v>
      </c>
      <c r="B27" s="59" t="s">
        <v>240</v>
      </c>
      <c r="C27" s="77" t="n">
        <v>25327</v>
      </c>
      <c r="D27" s="59" t="s">
        <v>241</v>
      </c>
      <c r="E27" s="59" t="s">
        <v>242</v>
      </c>
    </row>
    <row r="28" customFormat="false" ht="15" hidden="false" customHeight="true" outlineLevel="0" collapsed="false">
      <c r="A28" s="78" t="s">
        <v>243</v>
      </c>
      <c r="B28" s="78"/>
      <c r="C28" s="78"/>
      <c r="D28" s="78"/>
      <c r="E28" s="78"/>
    </row>
    <row r="29" customFormat="false" ht="15" hidden="false" customHeight="true" outlineLevel="0" collapsed="false">
      <c r="A29" s="79" t="s">
        <v>244</v>
      </c>
      <c r="B29" s="79"/>
      <c r="C29" s="79"/>
      <c r="D29" s="79"/>
      <c r="E29" s="79"/>
    </row>
  </sheetData>
  <mergeCells count="2">
    <mergeCell ref="A28:E28"/>
    <mergeCell ref="A29:E2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9" width="34"/>
    <col collapsed="false" customWidth="true" hidden="false" outlineLevel="0" max="5" min="2" style="19" width="17"/>
  </cols>
  <sheetData>
    <row r="1" customFormat="false" ht="17.25" hidden="false" customHeight="true" outlineLevel="0" collapsed="false">
      <c r="A1" s="45" t="s">
        <v>245</v>
      </c>
    </row>
    <row r="3" customFormat="false" ht="15" hidden="false" customHeight="true" outlineLevel="0" collapsed="false">
      <c r="A3" s="21" t="s">
        <v>91</v>
      </c>
    </row>
    <row r="4" customFormat="false" ht="15" hidden="false" customHeight="true" outlineLevel="0" collapsed="false">
      <c r="A4" s="46" t="s">
        <v>246</v>
      </c>
      <c r="B4" s="47" t="n">
        <v>150040</v>
      </c>
    </row>
    <row r="5" customFormat="false" ht="15" hidden="false" customHeight="true" outlineLevel="0" collapsed="false">
      <c r="A5" s="46" t="s">
        <v>98</v>
      </c>
      <c r="B5" s="49" t="n">
        <v>0.22</v>
      </c>
    </row>
    <row r="6" customFormat="false" ht="15" hidden="false" customHeight="true" outlineLevel="0" collapsed="false">
      <c r="A6" s="46" t="s">
        <v>247</v>
      </c>
      <c r="B6" s="49" t="n">
        <v>0.141</v>
      </c>
    </row>
    <row r="7" customFormat="false" ht="15" hidden="false" customHeight="true" outlineLevel="0" collapsed="false">
      <c r="A7" s="46" t="s">
        <v>248</v>
      </c>
      <c r="B7" s="49" t="n">
        <v>0.474</v>
      </c>
    </row>
    <row r="8" customFormat="false" ht="15" hidden="false" customHeight="true" outlineLevel="0" collapsed="false">
      <c r="A8" s="46" t="s">
        <v>249</v>
      </c>
      <c r="B8" s="49" t="n">
        <v>0.3784</v>
      </c>
    </row>
    <row r="10" customFormat="false" ht="15" hidden="false" customHeight="true" outlineLevel="0" collapsed="false">
      <c r="A10" s="53" t="s">
        <v>250</v>
      </c>
    </row>
    <row r="11" customFormat="false" ht="26.25" hidden="false" customHeight="true" outlineLevel="0" collapsed="false">
      <c r="A11" s="80"/>
      <c r="B11" s="80" t="s">
        <v>251</v>
      </c>
      <c r="C11" s="80" t="s">
        <v>252</v>
      </c>
      <c r="D11" s="80" t="s">
        <v>253</v>
      </c>
      <c r="E11" s="80" t="s">
        <v>254</v>
      </c>
    </row>
    <row r="12" customFormat="false" ht="15" hidden="false" customHeight="true" outlineLevel="0" collapsed="false">
      <c r="A12" s="23" t="s">
        <v>255</v>
      </c>
      <c r="B12" s="81" t="n">
        <f aca="false">$B$4</f>
        <v>150040</v>
      </c>
      <c r="C12" s="81" t="n">
        <f aca="false">$B$4</f>
        <v>150040</v>
      </c>
      <c r="D12" s="81" t="n">
        <f aca="false">$B$4</f>
        <v>150040</v>
      </c>
      <c r="E12" s="81" t="n">
        <f aca="false">$B$4</f>
        <v>150040</v>
      </c>
    </row>
    <row r="13" customFormat="false" ht="15" hidden="false" customHeight="true" outlineLevel="0" collapsed="false">
      <c r="A13" s="23" t="s">
        <v>256</v>
      </c>
      <c r="B13" s="81" t="n">
        <f aca="false">$B$4</f>
        <v>150040</v>
      </c>
      <c r="C13" s="81" t="n">
        <v>0</v>
      </c>
      <c r="D13" s="81" t="n">
        <v>0</v>
      </c>
      <c r="E13" s="81" t="n">
        <v>75000</v>
      </c>
    </row>
    <row r="14" customFormat="false" ht="15" hidden="false" customHeight="true" outlineLevel="0" collapsed="false">
      <c r="A14" s="23" t="s">
        <v>257</v>
      </c>
      <c r="B14" s="81" t="n">
        <v>0</v>
      </c>
      <c r="C14" s="81" t="n">
        <f aca="false">$B$4</f>
        <v>150040</v>
      </c>
      <c r="D14" s="81" t="n">
        <v>0</v>
      </c>
      <c r="E14" s="81" t="n">
        <f aca="false">$B$4-E13</f>
        <v>75040</v>
      </c>
    </row>
    <row r="15" customFormat="false" ht="15" hidden="false" customHeight="true" outlineLevel="0" collapsed="false">
      <c r="A15" s="23" t="s">
        <v>258</v>
      </c>
      <c r="B15" s="81" t="n">
        <v>0</v>
      </c>
      <c r="C15" s="81" t="n">
        <v>0</v>
      </c>
      <c r="D15" s="81" t="n">
        <f aca="false">$B$4</f>
        <v>150040</v>
      </c>
      <c r="E15" s="81" t="n">
        <v>0</v>
      </c>
    </row>
    <row r="16" customFormat="false" ht="15" hidden="false" customHeight="true" outlineLevel="0" collapsed="false">
      <c r="A16" s="55"/>
      <c r="B16" s="81"/>
      <c r="C16" s="81"/>
      <c r="D16" s="81"/>
      <c r="E16" s="81"/>
    </row>
    <row r="17" customFormat="false" ht="15" hidden="false" customHeight="true" outlineLevel="0" collapsed="false">
      <c r="A17" s="23" t="s">
        <v>259</v>
      </c>
      <c r="B17" s="81" t="n">
        <f aca="false">B13/(1-$B$7)</f>
        <v>285247.148288973</v>
      </c>
      <c r="C17" s="81" t="n">
        <f aca="false">C13/(1-$B$7)</f>
        <v>0</v>
      </c>
      <c r="D17" s="81" t="n">
        <f aca="false">D13/(1-$B$7)</f>
        <v>0</v>
      </c>
      <c r="E17" s="81" t="n">
        <f aca="false">E13/(1-$B$7)</f>
        <v>142585.551330798</v>
      </c>
    </row>
    <row r="18" customFormat="false" ht="15" hidden="false" customHeight="true" outlineLevel="0" collapsed="false">
      <c r="A18" s="23" t="s">
        <v>260</v>
      </c>
      <c r="B18" s="81" t="n">
        <f aca="false">B17*$B$6</f>
        <v>40219.8479087452</v>
      </c>
      <c r="C18" s="81" t="n">
        <f aca="false">C17*$B$6</f>
        <v>0</v>
      </c>
      <c r="D18" s="81" t="n">
        <f aca="false">D17*$B$6</f>
        <v>0</v>
      </c>
      <c r="E18" s="81" t="n">
        <f aca="false">E17*$B$6</f>
        <v>20104.5627376426</v>
      </c>
    </row>
    <row r="19" customFormat="false" ht="15" hidden="false" customHeight="true" outlineLevel="0" collapsed="false">
      <c r="A19" s="23" t="s">
        <v>261</v>
      </c>
      <c r="B19" s="81" t="n">
        <f aca="false">B17+B18</f>
        <v>325466.996197719</v>
      </c>
      <c r="C19" s="81" t="n">
        <f aca="false">C17+C18</f>
        <v>0</v>
      </c>
      <c r="D19" s="81" t="n">
        <f aca="false">D17+D18</f>
        <v>0</v>
      </c>
      <c r="E19" s="81" t="n">
        <f aca="false">E17+E18</f>
        <v>162690.114068441</v>
      </c>
    </row>
    <row r="20" customFormat="false" ht="15" hidden="false" customHeight="true" outlineLevel="0" collapsed="false">
      <c r="A20" s="23" t="s">
        <v>262</v>
      </c>
      <c r="B20" s="81" t="n">
        <f aca="false">-B19*$B$5</f>
        <v>-71602.7391634981</v>
      </c>
      <c r="C20" s="81" t="n">
        <f aca="false">-C19*$B$5</f>
        <v>-0</v>
      </c>
      <c r="D20" s="81" t="n">
        <f aca="false">-D19*$B$5</f>
        <v>-0</v>
      </c>
      <c r="E20" s="81" t="n">
        <f aca="false">-E19*$B$5</f>
        <v>-35791.825095057</v>
      </c>
    </row>
    <row r="21" customFormat="false" ht="15" hidden="false" customHeight="true" outlineLevel="0" collapsed="false">
      <c r="A21" s="23" t="s">
        <v>263</v>
      </c>
      <c r="B21" s="81" t="n">
        <f aca="false">B17*$B$7</f>
        <v>135207.148288973</v>
      </c>
      <c r="C21" s="81" t="n">
        <f aca="false">C17*$B$7</f>
        <v>0</v>
      </c>
      <c r="D21" s="81" t="n">
        <f aca="false">D17*$B$7</f>
        <v>0</v>
      </c>
      <c r="E21" s="81" t="n">
        <f aca="false">E17*$B$7</f>
        <v>67585.5513307985</v>
      </c>
    </row>
    <row r="22" customFormat="false" ht="15" hidden="false" customHeight="true" outlineLevel="0" collapsed="false">
      <c r="A22" s="23" t="s">
        <v>264</v>
      </c>
      <c r="B22" s="81" t="n">
        <f aca="false">B14*$B$8</f>
        <v>0</v>
      </c>
      <c r="C22" s="81" t="n">
        <f aca="false">C14*$B$8</f>
        <v>56775.136</v>
      </c>
      <c r="D22" s="81" t="n">
        <f aca="false">D14*$B$8</f>
        <v>0</v>
      </c>
      <c r="E22" s="81" t="n">
        <f aca="false">E14*$B$8</f>
        <v>28395.136</v>
      </c>
    </row>
    <row r="23" customFormat="false" ht="15" hidden="false" customHeight="true" outlineLevel="0" collapsed="false">
      <c r="A23" s="55"/>
      <c r="B23" s="81"/>
      <c r="C23" s="81"/>
      <c r="D23" s="81"/>
      <c r="E23" s="81"/>
    </row>
    <row r="24" customFormat="false" ht="15" hidden="false" customHeight="true" outlineLevel="0" collapsed="false">
      <c r="A24" s="43" t="s">
        <v>265</v>
      </c>
      <c r="B24" s="82" t="n">
        <f aca="false">B18+B20+B21+B22</f>
        <v>103824.257034221</v>
      </c>
      <c r="C24" s="82" t="n">
        <f aca="false">C18+C20+C21+C22</f>
        <v>56775.136</v>
      </c>
      <c r="D24" s="82" t="n">
        <f aca="false">D18+D20+D21+D22</f>
        <v>0</v>
      </c>
      <c r="E24" s="82" t="n">
        <f aca="false">E18+E20+E21+E22</f>
        <v>80293.424973384</v>
      </c>
    </row>
    <row r="25" customFormat="false" ht="15" hidden="false" customHeight="true" outlineLevel="0" collapsed="false">
      <c r="A25" s="83" t="s">
        <v>266</v>
      </c>
      <c r="B25" s="84" t="n">
        <f aca="false">B24/$B$4</f>
        <v>0.691977186311787</v>
      </c>
      <c r="C25" s="84" t="n">
        <f aca="false">C24/$B$4</f>
        <v>0.3784</v>
      </c>
      <c r="D25" s="84" t="n">
        <f aca="false">D24/$B$4</f>
        <v>0</v>
      </c>
      <c r="E25" s="84" t="n">
        <f aca="false">E24/$B$4</f>
        <v>0.535146794010824</v>
      </c>
    </row>
    <row r="26" customFormat="false" ht="15" hidden="false" customHeight="true" outlineLevel="0" collapsed="false">
      <c r="A26" s="23" t="s">
        <v>267</v>
      </c>
      <c r="B26" s="81" t="n">
        <f aca="false">B19</f>
        <v>325466.996197719</v>
      </c>
      <c r="C26" s="81" t="n">
        <f aca="false">C19</f>
        <v>0</v>
      </c>
      <c r="D26" s="81" t="n">
        <f aca="false">D19</f>
        <v>0</v>
      </c>
      <c r="E26" s="81" t="n">
        <f aca="false">E19</f>
        <v>162690.114068441</v>
      </c>
    </row>
    <row r="28" customFormat="false" ht="15" hidden="false" customHeight="true" outlineLevel="0" collapsed="false">
      <c r="A28" s="46"/>
    </row>
    <row r="29" customFormat="false" ht="15" hidden="false" customHeight="true" outlineLevel="0" collapsed="false">
      <c r="A29" s="29" t="s">
        <v>268</v>
      </c>
    </row>
    <row r="30" customFormat="false" ht="15" hidden="false" customHeight="true" outlineLevel="0" collapsed="false">
      <c r="A30" s="29" t="s">
        <v>269</v>
      </c>
    </row>
    <row r="31" customFormat="false" ht="15" hidden="false" customHeight="true" outlineLevel="0" collapsed="false">
      <c r="A31" s="29" t="s">
        <v>270</v>
      </c>
    </row>
    <row r="32" customFormat="false" ht="15" hidden="false" customHeight="true" outlineLevel="0" collapsed="false">
      <c r="A32" s="29" t="s">
        <v>271</v>
      </c>
    </row>
    <row r="33" customFormat="false" ht="15" hidden="false" customHeight="true" outlineLevel="0" collapsed="false">
      <c r="A33" s="29" t="s">
        <v>272</v>
      </c>
    </row>
    <row r="34" customFormat="false" ht="15" hidden="false" customHeight="true" outlineLevel="0" collapsed="false">
      <c r="A34" s="29" t="s">
        <v>273</v>
      </c>
    </row>
    <row r="35" customFormat="false" ht="15" hidden="false" customHeight="true" outlineLevel="0" collapsed="false">
      <c r="A35" s="29" t="s">
        <v>274</v>
      </c>
    </row>
    <row r="36" customFormat="false" ht="15" hidden="false" customHeight="true" outlineLevel="0" collapsed="false">
      <c r="A36" s="46"/>
    </row>
    <row r="37" customFormat="false" ht="15" hidden="false" customHeight="true" outlineLevel="0" collapsed="false">
      <c r="A37" s="29" t="s">
        <v>275</v>
      </c>
    </row>
    <row r="39" customFormat="false" ht="15" hidden="false" customHeight="true" outlineLevel="0" collapsed="false">
      <c r="A39" s="29" t="s">
        <v>276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2026-06-15T13:56:17Z</dcterms:created>
  <dc:creator>openpyxl</dc:creator>
  <dc:description/>
  <dc:language>en-US</dc:language>
  <cp:lastModifiedBy/>
  <dcterms:modified xsi:type="dcterms:W3CDTF">2026-06-16T10:11:10Z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
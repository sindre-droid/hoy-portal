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/Users/sindrejacobsen/Dropbox/Back-office/2024/"/>
    </mc:Choice>
  </mc:AlternateContent>
  <xr:revisionPtr revIDLastSave="2498" documentId="13_ncr:1_{30F7FAE9-9225-6841-9915-13764050B5B2}" xr6:coauthVersionLast="47" xr6:coauthVersionMax="47" xr10:uidLastSave="{0818F33C-2529-4DF4-B953-E61C230D5B00}"/>
  <bookViews>
    <workbookView xWindow="11520" yWindow="640" windowWidth="32580" windowHeight="28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FliLfPfzNshApruKnhuO9uMhuFahoLxn+5etZDsIBw="/>
    </ext>
  </extLst>
</workbook>
</file>

<file path=xl/calcChain.xml><?xml version="1.0" encoding="utf-8"?>
<calcChain xmlns="http://schemas.openxmlformats.org/spreadsheetml/2006/main">
  <c r="H72" i="1" l="1"/>
  <c r="T82" i="1"/>
  <c r="H80" i="1"/>
  <c r="G80" i="1"/>
  <c r="F80" i="1"/>
  <c r="L88" i="1"/>
  <c r="K88" i="1"/>
  <c r="H88" i="1"/>
  <c r="S76" i="1"/>
  <c r="K76" i="1"/>
  <c r="L76" i="1"/>
  <c r="M76" i="1"/>
  <c r="G75" i="1"/>
  <c r="H75" i="1" s="1"/>
  <c r="H70" i="1"/>
  <c r="H74" i="1"/>
  <c r="S73" i="1"/>
  <c r="K73" i="1"/>
  <c r="L73" i="1"/>
  <c r="M73" i="1"/>
  <c r="G72" i="1"/>
  <c r="S71" i="1"/>
  <c r="K71" i="1"/>
  <c r="L71" i="1"/>
  <c r="M71" i="1"/>
  <c r="T86" i="1"/>
  <c r="S70" i="1"/>
  <c r="K70" i="1"/>
  <c r="L70" i="1"/>
  <c r="M70" i="1"/>
  <c r="T88" i="1"/>
  <c r="T84" i="1"/>
  <c r="S69" i="1"/>
  <c r="K69" i="1"/>
  <c r="L69" i="1"/>
  <c r="M69" i="1"/>
  <c r="S68" i="1"/>
  <c r="K68" i="1"/>
  <c r="L68" i="1"/>
  <c r="M68" i="1"/>
  <c r="S67" i="1"/>
  <c r="K67" i="1"/>
  <c r="L67" i="1"/>
  <c r="M67" i="1"/>
  <c r="S66" i="1"/>
  <c r="K66" i="1"/>
  <c r="L66" i="1"/>
  <c r="M66" i="1"/>
  <c r="S65" i="1"/>
  <c r="K65" i="1"/>
  <c r="L65" i="1"/>
  <c r="M65" i="1"/>
  <c r="S64" i="1"/>
  <c r="K64" i="1"/>
  <c r="L64" i="1"/>
  <c r="M64" i="1"/>
  <c r="S63" i="1"/>
  <c r="K63" i="1"/>
  <c r="L63" i="1"/>
  <c r="M63" i="1"/>
  <c r="S62" i="1"/>
  <c r="K62" i="1"/>
  <c r="L62" i="1"/>
  <c r="M62" i="1"/>
  <c r="S61" i="1"/>
  <c r="K61" i="1"/>
  <c r="L61" i="1"/>
  <c r="M61" i="1"/>
  <c r="S60" i="1"/>
  <c r="K60" i="1"/>
  <c r="L60" i="1"/>
  <c r="M60" i="1"/>
  <c r="S59" i="1"/>
  <c r="K59" i="1"/>
  <c r="L59" i="1"/>
  <c r="M59" i="1"/>
  <c r="S58" i="1"/>
  <c r="K58" i="1"/>
  <c r="L58" i="1"/>
  <c r="M58" i="1"/>
  <c r="S57" i="1"/>
  <c r="K57" i="1"/>
  <c r="L57" i="1"/>
  <c r="M57" i="1"/>
  <c r="S56" i="1"/>
  <c r="K56" i="1"/>
  <c r="L56" i="1"/>
  <c r="M56" i="1"/>
  <c r="S55" i="1"/>
  <c r="K55" i="1"/>
  <c r="L55" i="1"/>
  <c r="M55" i="1"/>
  <c r="S54" i="1"/>
  <c r="K54" i="1"/>
  <c r="L54" i="1"/>
  <c r="M54" i="1"/>
  <c r="S50" i="1"/>
  <c r="K50" i="1"/>
  <c r="L50" i="1"/>
  <c r="M50" i="1"/>
  <c r="S53" i="1"/>
  <c r="K53" i="1"/>
  <c r="L53" i="1"/>
  <c r="M53" i="1"/>
  <c r="S52" i="1"/>
  <c r="K52" i="1"/>
  <c r="L52" i="1"/>
  <c r="M52" i="1"/>
  <c r="S49" i="1"/>
  <c r="K49" i="1"/>
  <c r="L49" i="1"/>
  <c r="M49" i="1"/>
  <c r="S43" i="1"/>
  <c r="K43" i="1"/>
  <c r="L43" i="1"/>
  <c r="M43" i="1"/>
  <c r="S51" i="1"/>
  <c r="K51" i="1"/>
  <c r="L51" i="1"/>
  <c r="M51" i="1"/>
  <c r="S47" i="1"/>
  <c r="S48" i="1"/>
  <c r="H44" i="1"/>
  <c r="H21" i="1"/>
  <c r="H37" i="1"/>
  <c r="H32" i="1"/>
  <c r="L32" i="1"/>
  <c r="L33" i="1"/>
  <c r="L34" i="1"/>
  <c r="L35" i="1"/>
  <c r="L36" i="1"/>
  <c r="L37" i="1"/>
  <c r="L38" i="1"/>
  <c r="L40" i="1"/>
  <c r="L41" i="1"/>
  <c r="L42" i="1"/>
  <c r="L44" i="1"/>
  <c r="L39" i="1"/>
  <c r="L45" i="1"/>
  <c r="L46" i="1"/>
  <c r="L47" i="1"/>
  <c r="L48" i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M38" i="1" s="1"/>
  <c r="K40" i="1"/>
  <c r="M40" i="1" s="1"/>
  <c r="K41" i="1"/>
  <c r="M41" i="1" s="1"/>
  <c r="K42" i="1"/>
  <c r="M42" i="1" s="1"/>
  <c r="K44" i="1"/>
  <c r="M44" i="1" s="1"/>
  <c r="K39" i="1"/>
  <c r="K45" i="1"/>
  <c r="K46" i="1"/>
  <c r="M46" i="1" s="1"/>
  <c r="K47" i="1"/>
  <c r="M47" i="1" s="1"/>
  <c r="K48" i="1"/>
  <c r="M48" i="1" s="1"/>
  <c r="H31" i="1"/>
  <c r="G22" i="1"/>
  <c r="H23" i="1"/>
  <c r="H18" i="1"/>
  <c r="H8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H19" i="1"/>
  <c r="H24" i="1"/>
  <c r="H25" i="1"/>
  <c r="H26" i="1"/>
  <c r="H28" i="1"/>
  <c r="H29" i="1"/>
  <c r="H30" i="1"/>
  <c r="H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3" i="1"/>
  <c r="K24" i="1"/>
  <c r="K25" i="1"/>
  <c r="M25" i="1" s="1"/>
  <c r="K26" i="1"/>
  <c r="K27" i="1"/>
  <c r="K28" i="1"/>
  <c r="K29" i="1"/>
  <c r="K30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3" i="1"/>
  <c r="L24" i="1"/>
  <c r="L25" i="1"/>
  <c r="L26" i="1"/>
  <c r="L27" i="1"/>
  <c r="L28" i="1"/>
  <c r="L29" i="1"/>
  <c r="L30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3" i="1"/>
  <c r="M24" i="1"/>
  <c r="M26" i="1"/>
  <c r="M27" i="1"/>
  <c r="M28" i="1"/>
  <c r="M29" i="1"/>
  <c r="M30" i="1"/>
  <c r="L3" i="1"/>
  <c r="K3" i="1"/>
  <c r="M3" i="1" s="1"/>
  <c r="L2" i="1"/>
  <c r="K2" i="1"/>
  <c r="S46" i="1"/>
  <c r="S45" i="1"/>
  <c r="S42" i="1"/>
  <c r="S44" i="1"/>
  <c r="S39" i="1"/>
  <c r="S29" i="1"/>
  <c r="H82" i="1" l="1"/>
  <c r="H86" i="1"/>
  <c r="S74" i="1"/>
  <c r="K74" i="1"/>
  <c r="M74" i="1" s="1"/>
  <c r="L74" i="1"/>
  <c r="S75" i="1"/>
  <c r="K75" i="1"/>
  <c r="M75" i="1" s="1"/>
  <c r="L75" i="1"/>
  <c r="S72" i="1"/>
  <c r="S80" i="1" s="1"/>
  <c r="K72" i="1"/>
  <c r="L72" i="1"/>
  <c r="K84" i="1"/>
  <c r="H84" i="1"/>
  <c r="M39" i="1"/>
  <c r="H22" i="1"/>
  <c r="M45" i="1"/>
  <c r="V84" i="1"/>
  <c r="S22" i="1"/>
  <c r="L22" i="1"/>
  <c r="V88" i="1" s="1"/>
  <c r="K22" i="1"/>
  <c r="L31" i="1"/>
  <c r="K31" i="1"/>
  <c r="M2" i="1"/>
  <c r="S9" i="1"/>
  <c r="M72" i="1" l="1"/>
  <c r="M80" i="1" s="1"/>
  <c r="K80" i="1"/>
  <c r="K82" i="1"/>
  <c r="V82" i="1" s="1"/>
  <c r="M31" i="1"/>
  <c r="M22" i="1"/>
  <c r="S41" i="1"/>
  <c r="S40" i="1"/>
  <c r="S38" i="1"/>
  <c r="S37" i="1"/>
  <c r="S36" i="1"/>
  <c r="S35" i="1"/>
  <c r="S34" i="1"/>
  <c r="S33" i="1"/>
  <c r="S32" i="1"/>
  <c r="S31" i="1"/>
  <c r="S30" i="1"/>
  <c r="S28" i="1"/>
  <c r="S27" i="1"/>
  <c r="S26" i="1"/>
  <c r="S25" i="1"/>
  <c r="S24" i="1"/>
  <c r="S23" i="1"/>
  <c r="S21" i="1"/>
  <c r="S20" i="1"/>
  <c r="S19" i="1"/>
  <c r="S18" i="1"/>
  <c r="S17" i="1"/>
  <c r="S16" i="1"/>
  <c r="S15" i="1"/>
  <c r="S14" i="1"/>
  <c r="S13" i="1"/>
  <c r="S12" i="1"/>
  <c r="S11" i="1"/>
  <c r="S10" i="1"/>
  <c r="S8" i="1"/>
  <c r="S7" i="1"/>
  <c r="S6" i="1"/>
  <c r="S5" i="1"/>
  <c r="S4" i="1"/>
  <c r="S3" i="1"/>
  <c r="S2" i="1"/>
  <c r="L86" i="1" l="1"/>
  <c r="K86" i="1"/>
  <c r="V86" i="1"/>
</calcChain>
</file>

<file path=xl/sharedStrings.xml><?xml version="1.0" encoding="utf-8"?>
<sst xmlns="http://schemas.openxmlformats.org/spreadsheetml/2006/main" count="481" uniqueCount="238">
  <si>
    <t>Oppdragsnr</t>
  </si>
  <si>
    <t>Båttype</t>
  </si>
  <si>
    <t>Selger</t>
  </si>
  <si>
    <t>Kjøper</t>
  </si>
  <si>
    <t>Solgt dato</t>
  </si>
  <si>
    <t>Salgssum</t>
  </si>
  <si>
    <t>Provisjon</t>
  </si>
  <si>
    <t>Omsetning ex.mva</t>
  </si>
  <si>
    <t>Oppdrag inn</t>
  </si>
  <si>
    <t>Solgt av</t>
  </si>
  <si>
    <t>50/50 Splitt</t>
  </si>
  <si>
    <t>10% splitt</t>
  </si>
  <si>
    <t>2 x Splitt</t>
  </si>
  <si>
    <t>Ekstra</t>
  </si>
  <si>
    <t>Oppgjør</t>
  </si>
  <si>
    <t xml:space="preserve">Utbetalt </t>
  </si>
  <si>
    <t>Utbetalt</t>
  </si>
  <si>
    <t>Utestående</t>
  </si>
  <si>
    <t>Oppdragskilde</t>
  </si>
  <si>
    <t>Grand Banks 45 Eastbay</t>
  </si>
  <si>
    <t>Bjørn Ramberg</t>
  </si>
  <si>
    <t>Marius von Hanno</t>
  </si>
  <si>
    <t>Sindre</t>
  </si>
  <si>
    <t>X</t>
  </si>
  <si>
    <t>NRK artikkel</t>
  </si>
  <si>
    <t>Windy 28 Ghibli</t>
  </si>
  <si>
    <t>Pål Bråthen</t>
  </si>
  <si>
    <t>Trond Funderud</t>
  </si>
  <si>
    <t>Cold Outreach</t>
  </si>
  <si>
    <t>Goldfish 28 Bullet</t>
  </si>
  <si>
    <t>Simen Flaaten</t>
  </si>
  <si>
    <t>Rikard Vabo</t>
  </si>
  <si>
    <t>Våre nettsider</t>
  </si>
  <si>
    <t>Dufour 385 GL</t>
  </si>
  <si>
    <t>Ole Henrik Grønvold</t>
  </si>
  <si>
    <t>Helge Kristiansen</t>
  </si>
  <si>
    <t>Henrik</t>
  </si>
  <si>
    <t>Rupert R6</t>
  </si>
  <si>
    <t>Kristian Walstad</t>
  </si>
  <si>
    <t>Trond Rosnes</t>
  </si>
  <si>
    <t>Referral</t>
  </si>
  <si>
    <t>Goldfish 30 Sport</t>
  </si>
  <si>
    <t>Kristoffer Dale</t>
  </si>
  <si>
    <t>Ole Christopher Aronsen</t>
  </si>
  <si>
    <t>Social media</t>
  </si>
  <si>
    <t>Co-brokerage</t>
  </si>
  <si>
    <t>Repeat</t>
  </si>
  <si>
    <t>Goldfish 30 Sport T-Top</t>
  </si>
  <si>
    <t>Raymond Østtorp</t>
  </si>
  <si>
    <t>Herman Stene Cedergren</t>
  </si>
  <si>
    <t>Goldfish 28 Tender</t>
  </si>
  <si>
    <t>Simen Nyberg-Hansen</t>
  </si>
  <si>
    <t>Dan Friis-Møller</t>
  </si>
  <si>
    <t>Hydrolift X-26S-R</t>
  </si>
  <si>
    <t>Dagfinn Galland</t>
  </si>
  <si>
    <t>Tom Morud</t>
  </si>
  <si>
    <t>Nimbus 230R</t>
  </si>
  <si>
    <t>Marius Mithassel</t>
  </si>
  <si>
    <t>Joachim Løvenskjold</t>
  </si>
  <si>
    <t>Marius Mårnes Mathiesen</t>
  </si>
  <si>
    <t>Andreas Opstad Strand</t>
  </si>
  <si>
    <t>Jan Petter Hansen</t>
  </si>
  <si>
    <t>Ståle Bjørdal</t>
  </si>
  <si>
    <t>Hanse 388</t>
  </si>
  <si>
    <t>Jens Viggo Linhardsen</t>
  </si>
  <si>
    <t>Erik Nylenna</t>
  </si>
  <si>
    <t>Jeanette</t>
  </si>
  <si>
    <t>Fjord Terne 28</t>
  </si>
  <si>
    <t>Henning Poulsson</t>
  </si>
  <si>
    <t>Petter Helgesen</t>
  </si>
  <si>
    <t>Baltic 52</t>
  </si>
  <si>
    <t>Andre Walle</t>
  </si>
  <si>
    <t>Halfdan Amundsen Solberg</t>
  </si>
  <si>
    <t>Swan 48</t>
  </si>
  <si>
    <t>Niels Stagegaard</t>
  </si>
  <si>
    <t>Pål Five</t>
  </si>
  <si>
    <t>Hydrolift S24 Diablo</t>
  </si>
  <si>
    <t>Mathias Tranby</t>
  </si>
  <si>
    <t>Kjell-Erik Østerbø</t>
  </si>
  <si>
    <t>Thanos Pagkalidis</t>
  </si>
  <si>
    <t>Ståle Eikeland</t>
  </si>
  <si>
    <t>Axopar 25 X-bow</t>
  </si>
  <si>
    <t>Andreas Sjölund</t>
  </si>
  <si>
    <t>Lars Erik Røiseng</t>
  </si>
  <si>
    <t>Kjetil Hiort</t>
  </si>
  <si>
    <t xml:space="preserve">Marineservice </t>
  </si>
  <si>
    <t>Daniel</t>
  </si>
  <si>
    <t>Sweden Yachts 38</t>
  </si>
  <si>
    <t>Geir Hugo Jacobsen</t>
  </si>
  <si>
    <t>Blake Alexander Pope</t>
  </si>
  <si>
    <t>Cormate 23 SU</t>
  </si>
  <si>
    <t>Knut Stokke</t>
  </si>
  <si>
    <t>Cato Freuchen</t>
  </si>
  <si>
    <t xml:space="preserve">Sindre </t>
  </si>
  <si>
    <t>Axopar 28 Open</t>
  </si>
  <si>
    <t>Alexander Sandberg Lund</t>
  </si>
  <si>
    <t>Christian Lund</t>
  </si>
  <si>
    <t>Paragon 31 Fly</t>
  </si>
  <si>
    <t>Børre Reksten</t>
  </si>
  <si>
    <t>Ed Carrell</t>
  </si>
  <si>
    <t>Axopar 37 XC</t>
  </si>
  <si>
    <t>Frederic Rivelsrud</t>
  </si>
  <si>
    <t>Ismail Erkan Celik</t>
  </si>
  <si>
    <t>Harald Mohn</t>
  </si>
  <si>
    <t>Mats Hofgaard</t>
  </si>
  <si>
    <t>Simen Teigre</t>
  </si>
  <si>
    <t>Terje Ropstad</t>
  </si>
  <si>
    <t>Seaside 23</t>
  </si>
  <si>
    <t>Trond Liltvedt</t>
  </si>
  <si>
    <t>Kjetil Johan Iversen</t>
  </si>
  <si>
    <t>Hallberg Rassy 43</t>
  </si>
  <si>
    <t>Lars Erik Hoel</t>
  </si>
  <si>
    <t>Tor Hurlen</t>
  </si>
  <si>
    <t>Scand Baltic 28</t>
  </si>
  <si>
    <t>Jan Furuheim</t>
  </si>
  <si>
    <t>Morten Reiersen</t>
  </si>
  <si>
    <t>Thomas Michelet</t>
  </si>
  <si>
    <t>Hans Øigarden</t>
  </si>
  <si>
    <t>Princess 415</t>
  </si>
  <si>
    <t>Janusz Kraszewski</t>
  </si>
  <si>
    <t>Steffen Sakariassen</t>
  </si>
  <si>
    <t>Nimbus W9</t>
  </si>
  <si>
    <t>Jon Melhus</t>
  </si>
  <si>
    <t>Torbjørn Havn</t>
  </si>
  <si>
    <t>Sindre/Daniel</t>
  </si>
  <si>
    <t>Askeladden C83</t>
  </si>
  <si>
    <t>Peter Haugnæss</t>
  </si>
  <si>
    <t>Markus Mørk Andersen</t>
  </si>
  <si>
    <t>Sandvik 945</t>
  </si>
  <si>
    <t>Kjell Borthne</t>
  </si>
  <si>
    <t>Jacobus Vlot</t>
  </si>
  <si>
    <t>Cranchi 28 CSL</t>
  </si>
  <si>
    <t>Thore Ulstrup Jansen</t>
  </si>
  <si>
    <t>DeBorg Trading Company</t>
  </si>
  <si>
    <t>Stig Bakke</t>
  </si>
  <si>
    <t>Jens Christian Dale</t>
  </si>
  <si>
    <t>Ivar Villa</t>
  </si>
  <si>
    <t>Tommy Fanebust</t>
  </si>
  <si>
    <t>Skorgenes 445 Sonic</t>
  </si>
  <si>
    <t>Tor Reidar Isaksen</t>
  </si>
  <si>
    <t>Tov Røysland</t>
  </si>
  <si>
    <t>Bavaria 37 Cruiser</t>
  </si>
  <si>
    <t>Lars Mikkelsen</t>
  </si>
  <si>
    <t>Åge Bredesen</t>
  </si>
  <si>
    <t>Bavaria CR41</t>
  </si>
  <si>
    <t>Trond Gustavsen</t>
  </si>
  <si>
    <t>Tima Invest As</t>
  </si>
  <si>
    <t>Windy 35 Khamsin</t>
  </si>
  <si>
    <t>Alexander Karlsen</t>
  </si>
  <si>
    <t>Henrik Søgaard</t>
  </si>
  <si>
    <t>Henrik/Sindre</t>
  </si>
  <si>
    <t>Paragon 25 Cabin</t>
  </si>
  <si>
    <t>Ihlen Dødsbo/NessLundin</t>
  </si>
  <si>
    <t>Agnar Stene, Bodil Leira Stene</t>
  </si>
  <si>
    <t>Fjord Terne 24</t>
  </si>
  <si>
    <t>Håkon Bjercke</t>
  </si>
  <si>
    <t>Harald Thorrud</t>
  </si>
  <si>
    <t>Grandezza 31 OC</t>
  </si>
  <si>
    <t>Geir Paulsen</t>
  </si>
  <si>
    <t>Dag Erik Olafsen-Hægland</t>
  </si>
  <si>
    <t>Capelli 900 WA</t>
  </si>
  <si>
    <t>Terje Wårheim</t>
  </si>
  <si>
    <t>Vegard Nordli</t>
  </si>
  <si>
    <t>Cormate 35 Chase</t>
  </si>
  <si>
    <t>Alexander Wroll Owesen</t>
  </si>
  <si>
    <t>Roger Adolfsen</t>
  </si>
  <si>
    <t>Trond Haug</t>
  </si>
  <si>
    <t>Fairline Targa 37</t>
  </si>
  <si>
    <t>Tommy Sundstrøm</t>
  </si>
  <si>
    <t>Roger Sandmo</t>
  </si>
  <si>
    <t>Carmen IV</t>
  </si>
  <si>
    <t>Jo Borkhus</t>
  </si>
  <si>
    <t>Quirito Academy AG</t>
  </si>
  <si>
    <t>Fredrik Furuholmen</t>
  </si>
  <si>
    <t>Preben Sørensen</t>
  </si>
  <si>
    <t>Nimbus W9 T-Top</t>
  </si>
  <si>
    <t>Dag Richard Hognerud</t>
  </si>
  <si>
    <t>Einar Kinge</t>
  </si>
  <si>
    <t>Grand Banks 52</t>
  </si>
  <si>
    <t>Finn/Heidi Klepsvik</t>
  </si>
  <si>
    <t>Geir Jonny Solvoll</t>
  </si>
  <si>
    <t>x</t>
  </si>
  <si>
    <t>Nidelv 300 Sport</t>
  </si>
  <si>
    <t>Nina Brandt</t>
  </si>
  <si>
    <t>Per Morstad</t>
  </si>
  <si>
    <t>Hydrolift X-26S</t>
  </si>
  <si>
    <t>Arnstein Sandnes</t>
  </si>
  <si>
    <t>Jarle Kraakevik</t>
  </si>
  <si>
    <t>Jeanneau S.O 36i</t>
  </si>
  <si>
    <t>Thorbjørn Kringstad</t>
  </si>
  <si>
    <t>Simen Møller</t>
  </si>
  <si>
    <t>Elan Power 35 HT</t>
  </si>
  <si>
    <t>Ronnie Jensen</t>
  </si>
  <si>
    <t>Jan Audun Rob</t>
  </si>
  <si>
    <t>Nordkapp 905 Grand Coupe</t>
  </si>
  <si>
    <t>Stig Arman Borge</t>
  </si>
  <si>
    <t>Thomas Thorsvik</t>
  </si>
  <si>
    <t>Dufour 44</t>
  </si>
  <si>
    <t>Thorstein Saanum</t>
  </si>
  <si>
    <t>Ingvar Tjøstheim</t>
  </si>
  <si>
    <t>Andreas Frederik Løken</t>
  </si>
  <si>
    <t>Petter Næss</t>
  </si>
  <si>
    <t>Martin Støren</t>
  </si>
  <si>
    <t>Martin Koren</t>
  </si>
  <si>
    <t>Ibiza 811 Touring</t>
  </si>
  <si>
    <t>Fred Andersen</t>
  </si>
  <si>
    <t>Frank Aanvik</t>
  </si>
  <si>
    <t>Atle Midttun</t>
  </si>
  <si>
    <t>Pål Madsen</t>
  </si>
  <si>
    <t>Agnar Stene</t>
  </si>
  <si>
    <t>Enkel Bilutleie AS</t>
  </si>
  <si>
    <t>Beneteau Oceanis 37</t>
  </si>
  <si>
    <t>Frank Hugo Ellingsen</t>
  </si>
  <si>
    <t>Kristian Glemmestad</t>
  </si>
  <si>
    <t>Morten Berg</t>
  </si>
  <si>
    <t>Knut Bø</t>
  </si>
  <si>
    <t>Colin Archer 40</t>
  </si>
  <si>
    <t>Mona og Arne Røseth</t>
  </si>
  <si>
    <t>Michael Dixon</t>
  </si>
  <si>
    <t>Fairline Squadron 55</t>
  </si>
  <si>
    <t>Krigerfisk AS</t>
  </si>
  <si>
    <t>Petter Haukenes</t>
  </si>
  <si>
    <t>Skorgenes 350 FB</t>
  </si>
  <si>
    <t>Svein Wilskow</t>
  </si>
  <si>
    <t>Bjørn Inge Mikalsen</t>
  </si>
  <si>
    <t>Cranchi 47 Mediterranee</t>
  </si>
  <si>
    <t>Anne Kathrine Stensund</t>
  </si>
  <si>
    <t>Stein Andersen</t>
  </si>
  <si>
    <t>Nordic Oceancraft 50</t>
  </si>
  <si>
    <t>Vibeke Lauritsen</t>
  </si>
  <si>
    <t>Tony Østhagen</t>
  </si>
  <si>
    <t>Nord West 370 Coupe</t>
  </si>
  <si>
    <t>Geir Regstad Aamodt</t>
  </si>
  <si>
    <t>Eivind Sørlie</t>
  </si>
  <si>
    <t>Ibiza 811</t>
  </si>
  <si>
    <t>Terje Jochumsen</t>
  </si>
  <si>
    <t>Sum</t>
  </si>
  <si>
    <t>&gt;Forskudd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</si>
</sst>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yyyy"/>
  </numFmts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0"/>
      <color rgb="FF222222"/>
      <name val="Verdana"/>
      <charset val="1"/>
    </font>
    <font>
      <b/>
      <sz val="12"/>
      <color theme="1"/>
      <name val="Calibri"/>
      <scheme val="minor"/>
    </font>
    <font>
      <sz val="12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0" fontId="3" fillId="2" borderId="1" xfId="0" applyFont="1" applyFill="1" applyBorder="1"/>
    <xf numFmtId="0" fontId="3" fillId="3" borderId="1" xfId="0" applyFont="1" applyFill="1" applyBorder="1"/>
    <xf numFmtId="164" fontId="3" fillId="0" borderId="0" xfId="0" applyNumberFormat="1" applyFont="1"/>
    <xf numFmtId="0" fontId="1" fillId="0" borderId="0" xfId="0" applyFont="1"/>
    <xf numFmtId="0" fontId="5" fillId="0" borderId="0" xfId="0" applyFont="1"/>
    <xf numFmtId="14" fontId="0" fillId="0" borderId="0" xfId="0" applyNumberFormat="1"/>
    <xf numFmtId="0" fontId="0" fillId="5" borderId="0" xfId="0" applyFill="1"/>
    <xf numFmtId="9" fontId="6" fillId="0" borderId="0" xfId="0" applyNumberFormat="1" applyFont="1"/>
    <xf numFmtId="0" fontId="3" fillId="4" borderId="1" xfId="0" applyFont="1" applyFill="1" applyBorder="1"/>
    <xf numFmtId="0" fontId="3" fillId="5" borderId="1" xfId="0" applyFont="1" applyFill="1" applyBorder="1"/>
    <xf numFmtId="0" fontId="3" fillId="4" borderId="0" xfId="0" applyFont="1" applyFill="1"/>
    <xf numFmtId="0" fontId="1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5" borderId="0" xfId="0" applyFont="1" applyFill="1"/>
    <xf numFmtId="0" fontId="0" fillId="7" borderId="0" xfId="0" applyFill="1"/>
    <xf numFmtId="0" fontId="3" fillId="7" borderId="0" xfId="0" applyFont="1" applyFill="1"/>
    <xf numFmtId="0" fontId="0" fillId="4" borderId="0" xfId="0" applyFill="1"/>
    <xf numFmtId="0" fontId="0" fillId="8" borderId="0" xfId="0" applyFill="1"/>
    <xf numFmtId="0" fontId="4" fillId="6" borderId="0" xfId="0" applyFont="1" applyFill="1"/>
    <xf numFmtId="0" fontId="3" fillId="8" borderId="0" xfId="0" applyFont="1" applyFill="1"/>
    <xf numFmtId="0" fontId="0" fillId="6" borderId="0" xfId="0" applyFill="1"/>
    <xf numFmtId="0" fontId="7" fillId="5" borderId="0" xfId="0" applyFont="1" applyFill="1"/>
    <xf numFmtId="0" fontId="6" fillId="0" borderId="0" xfId="0" applyFont="1"/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01"/>
  <sheetViews>
    <sheetView tabSelected="1" workbookViewId="0">
      <pane xSplit="1" topLeftCell="B3" activePane="topRight" state="frozen"/>
      <selection pane="topRight" activeCell="E20" sqref="E20"/>
    </sheetView>
  </sheetViews>
  <sheetFormatPr defaultColWidth="11.125" defaultRowHeight="15" customHeight="1"/>
  <cols>
    <col min="1" max="1" width="10.875" customWidth="1"/>
    <col min="2" max="2" width="24.125" bestFit="1" customWidth="1"/>
    <col min="3" max="4" width="32.125" customWidth="1"/>
    <col min="5" max="7" width="10.875" customWidth="1"/>
    <col min="8" max="8" width="16.125" customWidth="1"/>
    <col min="9" max="9" width="12.875" customWidth="1"/>
    <col min="10" max="10" width="12.5" customWidth="1"/>
    <col min="11" max="11" width="10.875" customWidth="1"/>
    <col min="12" max="12" width="10.625" customWidth="1"/>
    <col min="13" max="21" width="10.875" customWidth="1"/>
    <col min="22" max="22" width="35.375" customWidth="1"/>
    <col min="23" max="26" width="10.875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>
        <v>0.45</v>
      </c>
      <c r="L1" s="12">
        <v>0.4</v>
      </c>
      <c r="M1" s="1" t="s">
        <v>10</v>
      </c>
      <c r="N1" s="1" t="s">
        <v>11</v>
      </c>
      <c r="O1" s="1" t="s">
        <v>12</v>
      </c>
      <c r="P1" s="1" t="s">
        <v>13</v>
      </c>
      <c r="Q1" s="1"/>
      <c r="R1" s="1" t="s">
        <v>14</v>
      </c>
      <c r="S1" s="2">
        <v>0.55000000000000004</v>
      </c>
      <c r="T1" s="1" t="s">
        <v>15</v>
      </c>
      <c r="U1" s="28" t="s">
        <v>16</v>
      </c>
      <c r="V1" s="1" t="s">
        <v>17</v>
      </c>
      <c r="W1" s="1" t="s">
        <v>18</v>
      </c>
    </row>
    <row r="2" spans="1:23" ht="15.75" customHeight="1">
      <c r="A2" s="3">
        <v>23037</v>
      </c>
      <c r="B2" s="3" t="s">
        <v>19</v>
      </c>
      <c r="C2" s="3" t="s">
        <v>20</v>
      </c>
      <c r="D2" s="3" t="s">
        <v>21</v>
      </c>
      <c r="E2" s="4">
        <v>45695</v>
      </c>
      <c r="F2" s="3">
        <v>4500000</v>
      </c>
      <c r="G2" s="3">
        <v>270000</v>
      </c>
      <c r="H2" s="3">
        <f>G2/1.25</f>
        <v>216000</v>
      </c>
      <c r="I2" s="13" t="s">
        <v>22</v>
      </c>
      <c r="J2" s="13" t="s">
        <v>22</v>
      </c>
      <c r="K2" s="3">
        <f>H2*45/100</f>
        <v>97200</v>
      </c>
      <c r="L2">
        <f>H2*40/100</f>
        <v>86400</v>
      </c>
      <c r="M2" s="3">
        <f>K2/2</f>
        <v>48600</v>
      </c>
      <c r="R2" s="3" t="s">
        <v>23</v>
      </c>
      <c r="S2" s="3">
        <f t="shared" ref="S2:S63" si="0">H2*55/100</f>
        <v>118800</v>
      </c>
      <c r="U2">
        <v>97200</v>
      </c>
      <c r="W2" s="3" t="s">
        <v>24</v>
      </c>
    </row>
    <row r="3" spans="1:23" ht="15.75" customHeight="1">
      <c r="A3" s="3">
        <v>24063</v>
      </c>
      <c r="B3" s="3" t="s">
        <v>25</v>
      </c>
      <c r="C3" s="3" t="s">
        <v>26</v>
      </c>
      <c r="D3" s="3" t="s">
        <v>27</v>
      </c>
      <c r="E3" s="4">
        <v>45698</v>
      </c>
      <c r="F3" s="3">
        <v>730000</v>
      </c>
      <c r="G3" s="3">
        <v>45000</v>
      </c>
      <c r="H3" s="3">
        <f t="shared" ref="H3:H30" si="1">G3/1.25</f>
        <v>36000</v>
      </c>
      <c r="I3" s="13" t="s">
        <v>22</v>
      </c>
      <c r="J3" s="13" t="s">
        <v>22</v>
      </c>
      <c r="K3" s="3">
        <f>H3*45/100</f>
        <v>16200</v>
      </c>
      <c r="L3">
        <f>H3*40/100</f>
        <v>14400</v>
      </c>
      <c r="M3" s="3">
        <f t="shared" ref="M3:M42" si="2">K3/2</f>
        <v>8100</v>
      </c>
      <c r="R3" s="3" t="s">
        <v>23</v>
      </c>
      <c r="S3" s="3">
        <f t="shared" si="0"/>
        <v>19800</v>
      </c>
      <c r="U3" s="3">
        <v>16200</v>
      </c>
      <c r="W3" t="s">
        <v>28</v>
      </c>
    </row>
    <row r="4" spans="1:23" ht="15.75" customHeight="1">
      <c r="A4">
        <v>25006</v>
      </c>
      <c r="B4" s="3" t="s">
        <v>29</v>
      </c>
      <c r="C4" s="3" t="s">
        <v>30</v>
      </c>
      <c r="D4" s="3" t="s">
        <v>31</v>
      </c>
      <c r="E4" s="4">
        <v>45737</v>
      </c>
      <c r="F4" s="3">
        <v>1490000</v>
      </c>
      <c r="G4" s="3">
        <v>89400</v>
      </c>
      <c r="H4" s="3">
        <f t="shared" si="1"/>
        <v>71520</v>
      </c>
      <c r="I4" s="13" t="s">
        <v>22</v>
      </c>
      <c r="J4" s="13" t="s">
        <v>22</v>
      </c>
      <c r="K4" s="3">
        <f t="shared" ref="K4:K42" si="3">H4*45/100</f>
        <v>32184</v>
      </c>
      <c r="L4">
        <f t="shared" ref="L4:L42" si="4">H4*40/100</f>
        <v>28608</v>
      </c>
      <c r="M4" s="3">
        <f t="shared" si="2"/>
        <v>16092</v>
      </c>
      <c r="R4" s="3" t="s">
        <v>23</v>
      </c>
      <c r="S4" s="3">
        <f t="shared" si="0"/>
        <v>39336</v>
      </c>
      <c r="U4" s="3">
        <v>32814</v>
      </c>
      <c r="W4" s="3" t="s">
        <v>32</v>
      </c>
    </row>
    <row r="5" spans="1:23" ht="15.75" customHeight="1">
      <c r="A5" s="3">
        <v>25011</v>
      </c>
      <c r="B5" s="3" t="s">
        <v>33</v>
      </c>
      <c r="C5" s="3" t="s">
        <v>34</v>
      </c>
      <c r="D5" s="3" t="s">
        <v>35</v>
      </c>
      <c r="E5" s="4">
        <v>45741</v>
      </c>
      <c r="F5" s="3">
        <v>844000</v>
      </c>
      <c r="G5" s="3">
        <v>50640</v>
      </c>
      <c r="H5" s="3">
        <f t="shared" si="1"/>
        <v>40512</v>
      </c>
      <c r="I5" s="14" t="s">
        <v>36</v>
      </c>
      <c r="J5" s="14" t="s">
        <v>36</v>
      </c>
      <c r="K5" s="3">
        <f t="shared" si="3"/>
        <v>18230.400000000001</v>
      </c>
      <c r="L5">
        <f t="shared" si="4"/>
        <v>16204.8</v>
      </c>
      <c r="M5" s="3">
        <f t="shared" si="2"/>
        <v>9115.2000000000007</v>
      </c>
      <c r="N5" s="3"/>
      <c r="O5" s="3"/>
      <c r="P5" s="3"/>
      <c r="R5" s="3" t="s">
        <v>23</v>
      </c>
      <c r="S5" s="3">
        <f t="shared" si="0"/>
        <v>22281.599999999999</v>
      </c>
      <c r="T5" s="3"/>
      <c r="W5" s="3"/>
    </row>
    <row r="6" spans="1:23" ht="15.75" customHeight="1">
      <c r="A6" s="3">
        <v>25013</v>
      </c>
      <c r="B6" s="3" t="s">
        <v>37</v>
      </c>
      <c r="C6" s="3" t="s">
        <v>38</v>
      </c>
      <c r="D6" s="3" t="s">
        <v>39</v>
      </c>
      <c r="E6" s="4">
        <v>45741</v>
      </c>
      <c r="F6" s="3">
        <v>575000</v>
      </c>
      <c r="G6" s="3">
        <v>45000</v>
      </c>
      <c r="H6" s="3">
        <f t="shared" si="1"/>
        <v>36000</v>
      </c>
      <c r="I6" s="15" t="s">
        <v>22</v>
      </c>
      <c r="J6" s="15" t="s">
        <v>22</v>
      </c>
      <c r="K6" s="3">
        <f t="shared" si="3"/>
        <v>16200</v>
      </c>
      <c r="L6">
        <f t="shared" si="4"/>
        <v>14400</v>
      </c>
      <c r="M6" s="3">
        <f t="shared" si="2"/>
        <v>8100</v>
      </c>
      <c r="R6" s="3" t="s">
        <v>23</v>
      </c>
      <c r="S6" s="3">
        <f t="shared" si="0"/>
        <v>19800</v>
      </c>
      <c r="U6">
        <v>16200</v>
      </c>
      <c r="W6" s="3" t="s">
        <v>40</v>
      </c>
    </row>
    <row r="7" spans="1:23" ht="15.75" customHeight="1">
      <c r="A7" s="3">
        <v>23035</v>
      </c>
      <c r="B7" s="3" t="s">
        <v>41</v>
      </c>
      <c r="C7" s="3" t="s">
        <v>42</v>
      </c>
      <c r="D7" s="3" t="s">
        <v>43</v>
      </c>
      <c r="E7" s="4">
        <v>45757</v>
      </c>
      <c r="F7" s="3">
        <v>1700000</v>
      </c>
      <c r="G7" s="3">
        <v>102000</v>
      </c>
      <c r="H7" s="3">
        <f t="shared" si="1"/>
        <v>81600</v>
      </c>
      <c r="I7" s="15" t="s">
        <v>22</v>
      </c>
      <c r="J7" s="13" t="s">
        <v>22</v>
      </c>
      <c r="K7" s="3">
        <f t="shared" si="3"/>
        <v>36720</v>
      </c>
      <c r="L7">
        <f t="shared" si="4"/>
        <v>32640</v>
      </c>
      <c r="M7" s="3">
        <f t="shared" si="2"/>
        <v>18360</v>
      </c>
      <c r="P7">
        <v>15000</v>
      </c>
      <c r="R7" s="3" t="s">
        <v>23</v>
      </c>
      <c r="S7" s="3">
        <f t="shared" si="0"/>
        <v>44880</v>
      </c>
      <c r="U7">
        <v>36720</v>
      </c>
      <c r="W7" s="3" t="s">
        <v>44</v>
      </c>
    </row>
    <row r="8" spans="1:23" ht="15.75" customHeight="1">
      <c r="A8" s="3">
        <v>25003</v>
      </c>
      <c r="B8" s="3" t="s">
        <v>41</v>
      </c>
      <c r="C8" s="3" t="s">
        <v>38</v>
      </c>
      <c r="D8" s="3" t="s">
        <v>45</v>
      </c>
      <c r="E8" s="4">
        <v>45770</v>
      </c>
      <c r="F8" s="3">
        <v>2100000</v>
      </c>
      <c r="G8" s="3">
        <v>50000</v>
      </c>
      <c r="H8" s="3">
        <f t="shared" si="1"/>
        <v>40000</v>
      </c>
      <c r="I8" s="15" t="s">
        <v>22</v>
      </c>
      <c r="J8" s="15" t="s">
        <v>22</v>
      </c>
      <c r="K8" s="3">
        <f t="shared" si="3"/>
        <v>18000</v>
      </c>
      <c r="L8">
        <f t="shared" si="4"/>
        <v>16000</v>
      </c>
      <c r="M8" s="3">
        <f t="shared" si="2"/>
        <v>9000</v>
      </c>
      <c r="R8" s="3" t="s">
        <v>23</v>
      </c>
      <c r="S8" s="3">
        <f t="shared" si="0"/>
        <v>22000</v>
      </c>
      <c r="U8" s="3">
        <v>18000</v>
      </c>
      <c r="W8" t="s">
        <v>46</v>
      </c>
    </row>
    <row r="9" spans="1:23" ht="15.75" customHeight="1">
      <c r="A9" s="3">
        <v>24064</v>
      </c>
      <c r="B9" s="3" t="s">
        <v>47</v>
      </c>
      <c r="C9" s="3" t="s">
        <v>48</v>
      </c>
      <c r="D9" s="3" t="s">
        <v>49</v>
      </c>
      <c r="E9" s="4">
        <v>45771</v>
      </c>
      <c r="F9" s="3">
        <v>1625000</v>
      </c>
      <c r="G9" s="3">
        <v>72500</v>
      </c>
      <c r="H9" s="3">
        <f t="shared" si="1"/>
        <v>58000</v>
      </c>
      <c r="I9" s="15" t="s">
        <v>22</v>
      </c>
      <c r="J9" s="16" t="s">
        <v>22</v>
      </c>
      <c r="K9" s="3">
        <f t="shared" si="3"/>
        <v>26100</v>
      </c>
      <c r="L9">
        <f t="shared" si="4"/>
        <v>23200</v>
      </c>
      <c r="M9" s="3">
        <f t="shared" si="2"/>
        <v>13050</v>
      </c>
      <c r="R9" s="8" t="s">
        <v>23</v>
      </c>
      <c r="S9" s="3">
        <f t="shared" si="0"/>
        <v>31900</v>
      </c>
      <c r="U9">
        <v>26100</v>
      </c>
    </row>
    <row r="10" spans="1:23" ht="15.75" customHeight="1">
      <c r="A10" s="3">
        <v>25014</v>
      </c>
      <c r="B10" s="3" t="s">
        <v>50</v>
      </c>
      <c r="C10" s="3" t="s">
        <v>51</v>
      </c>
      <c r="D10" s="3" t="s">
        <v>52</v>
      </c>
      <c r="E10" s="4">
        <v>45780</v>
      </c>
      <c r="F10" s="3">
        <v>950000</v>
      </c>
      <c r="G10" s="3">
        <v>57000</v>
      </c>
      <c r="H10" s="3">
        <f t="shared" si="1"/>
        <v>45600</v>
      </c>
      <c r="I10" s="15" t="s">
        <v>22</v>
      </c>
      <c r="J10" s="15" t="s">
        <v>22</v>
      </c>
      <c r="K10" s="3">
        <f t="shared" si="3"/>
        <v>20520</v>
      </c>
      <c r="L10">
        <f t="shared" si="4"/>
        <v>18240</v>
      </c>
      <c r="M10" s="3">
        <f t="shared" si="2"/>
        <v>10260</v>
      </c>
      <c r="R10" s="8" t="s">
        <v>23</v>
      </c>
      <c r="S10" s="3">
        <f>H10*55/100</f>
        <v>25080</v>
      </c>
      <c r="U10" s="3">
        <v>20520</v>
      </c>
      <c r="W10" s="8"/>
    </row>
    <row r="11" spans="1:23" ht="15.75" customHeight="1">
      <c r="A11" s="3">
        <v>24010</v>
      </c>
      <c r="B11" s="3" t="s">
        <v>53</v>
      </c>
      <c r="C11" s="3" t="s">
        <v>54</v>
      </c>
      <c r="D11" s="3" t="s">
        <v>55</v>
      </c>
      <c r="E11" s="4">
        <v>45782</v>
      </c>
      <c r="F11" s="3">
        <v>1375000</v>
      </c>
      <c r="G11" s="3">
        <v>82500</v>
      </c>
      <c r="H11" s="3">
        <f t="shared" si="1"/>
        <v>66000</v>
      </c>
      <c r="I11" s="15" t="s">
        <v>22</v>
      </c>
      <c r="J11" s="15" t="s">
        <v>22</v>
      </c>
      <c r="K11" s="3">
        <f t="shared" si="3"/>
        <v>29700</v>
      </c>
      <c r="L11">
        <f t="shared" si="4"/>
        <v>26400</v>
      </c>
      <c r="M11" s="3">
        <f t="shared" si="2"/>
        <v>14850</v>
      </c>
      <c r="R11" s="3" t="s">
        <v>23</v>
      </c>
      <c r="S11" s="3">
        <f t="shared" si="0"/>
        <v>36300</v>
      </c>
      <c r="U11">
        <v>29700</v>
      </c>
    </row>
    <row r="12" spans="1:23" ht="15.75" customHeight="1">
      <c r="A12" s="3">
        <v>25029</v>
      </c>
      <c r="B12" s="3" t="s">
        <v>56</v>
      </c>
      <c r="C12" s="3" t="s">
        <v>57</v>
      </c>
      <c r="D12" s="3" t="s">
        <v>58</v>
      </c>
      <c r="E12" s="4">
        <v>45793</v>
      </c>
      <c r="F12" s="3">
        <v>490000</v>
      </c>
      <c r="G12" s="3">
        <v>45000</v>
      </c>
      <c r="H12" s="3">
        <f t="shared" si="1"/>
        <v>36000</v>
      </c>
      <c r="I12" s="17" t="s">
        <v>36</v>
      </c>
      <c r="J12" s="17" t="s">
        <v>36</v>
      </c>
      <c r="K12" s="3">
        <f t="shared" si="3"/>
        <v>16200</v>
      </c>
      <c r="L12">
        <f t="shared" si="4"/>
        <v>14400</v>
      </c>
      <c r="M12" s="3">
        <f t="shared" si="2"/>
        <v>8100</v>
      </c>
      <c r="R12" s="3" t="s">
        <v>23</v>
      </c>
      <c r="S12" s="3">
        <f t="shared" si="0"/>
        <v>19800</v>
      </c>
      <c r="T12">
        <v>14400</v>
      </c>
    </row>
    <row r="13" spans="1:23" ht="15.75" customHeight="1">
      <c r="A13" s="3">
        <v>25016</v>
      </c>
      <c r="B13" s="3" t="s">
        <v>56</v>
      </c>
      <c r="C13" s="3" t="s">
        <v>59</v>
      </c>
      <c r="D13" s="3" t="s">
        <v>60</v>
      </c>
      <c r="E13" s="4">
        <v>45792</v>
      </c>
      <c r="F13" s="3">
        <v>375000</v>
      </c>
      <c r="G13" s="3">
        <v>45000</v>
      </c>
      <c r="H13" s="3">
        <f t="shared" si="1"/>
        <v>36000</v>
      </c>
      <c r="I13" s="17" t="s">
        <v>36</v>
      </c>
      <c r="J13" s="17" t="s">
        <v>36</v>
      </c>
      <c r="K13" s="3">
        <f t="shared" si="3"/>
        <v>16200</v>
      </c>
      <c r="L13">
        <f t="shared" si="4"/>
        <v>14400</v>
      </c>
      <c r="M13" s="3">
        <f t="shared" si="2"/>
        <v>8100</v>
      </c>
      <c r="P13">
        <v>5000</v>
      </c>
      <c r="R13" s="3" t="s">
        <v>23</v>
      </c>
      <c r="S13" s="3">
        <f t="shared" si="0"/>
        <v>19800</v>
      </c>
      <c r="T13">
        <v>16000</v>
      </c>
      <c r="W13" s="8"/>
    </row>
    <row r="14" spans="1:23" ht="15.75" customHeight="1">
      <c r="A14" s="3">
        <v>24023</v>
      </c>
      <c r="B14" s="3" t="s">
        <v>41</v>
      </c>
      <c r="C14" s="3" t="s">
        <v>61</v>
      </c>
      <c r="D14" s="3" t="s">
        <v>62</v>
      </c>
      <c r="E14" s="4">
        <v>45796</v>
      </c>
      <c r="F14" s="3">
        <v>1750000</v>
      </c>
      <c r="G14" s="3">
        <v>105000</v>
      </c>
      <c r="H14" s="3">
        <f t="shared" si="1"/>
        <v>84000</v>
      </c>
      <c r="I14" s="15" t="s">
        <v>22</v>
      </c>
      <c r="J14" s="15" t="s">
        <v>22</v>
      </c>
      <c r="K14" s="3">
        <f t="shared" si="3"/>
        <v>37800</v>
      </c>
      <c r="L14">
        <f t="shared" si="4"/>
        <v>33600</v>
      </c>
      <c r="M14" s="3">
        <f t="shared" si="2"/>
        <v>18900</v>
      </c>
      <c r="R14" s="3" t="s">
        <v>23</v>
      </c>
      <c r="S14" s="3">
        <f t="shared" si="0"/>
        <v>46200</v>
      </c>
      <c r="U14">
        <v>37800</v>
      </c>
    </row>
    <row r="15" spans="1:23" ht="15.75" customHeight="1">
      <c r="A15" s="3">
        <v>24005</v>
      </c>
      <c r="B15" s="3" t="s">
        <v>63</v>
      </c>
      <c r="C15" s="3" t="s">
        <v>64</v>
      </c>
      <c r="D15" s="3" t="s">
        <v>65</v>
      </c>
      <c r="E15" s="4">
        <v>45800</v>
      </c>
      <c r="F15" s="3">
        <v>2400000</v>
      </c>
      <c r="G15" s="3">
        <v>120000</v>
      </c>
      <c r="H15" s="3">
        <f t="shared" si="1"/>
        <v>96000</v>
      </c>
      <c r="I15" s="18" t="s">
        <v>66</v>
      </c>
      <c r="J15" s="18" t="s">
        <v>66</v>
      </c>
      <c r="K15" s="3">
        <f t="shared" si="3"/>
        <v>43200</v>
      </c>
      <c r="L15">
        <f t="shared" si="4"/>
        <v>38400</v>
      </c>
      <c r="M15" s="3">
        <f t="shared" si="2"/>
        <v>21600</v>
      </c>
      <c r="R15" s="3" t="s">
        <v>23</v>
      </c>
      <c r="S15" s="3">
        <f t="shared" si="0"/>
        <v>52800</v>
      </c>
      <c r="T15" s="3">
        <v>43200</v>
      </c>
      <c r="W15" s="3"/>
    </row>
    <row r="16" spans="1:23" ht="15.75" customHeight="1">
      <c r="A16" s="3">
        <v>25025</v>
      </c>
      <c r="B16" s="3" t="s">
        <v>67</v>
      </c>
      <c r="C16" s="3" t="s">
        <v>68</v>
      </c>
      <c r="D16" s="3" t="s">
        <v>69</v>
      </c>
      <c r="E16" s="4">
        <v>45800</v>
      </c>
      <c r="F16" s="3">
        <v>730000</v>
      </c>
      <c r="G16" s="3">
        <v>45000</v>
      </c>
      <c r="H16" s="3">
        <f t="shared" si="1"/>
        <v>36000</v>
      </c>
      <c r="I16" s="18" t="s">
        <v>66</v>
      </c>
      <c r="J16" s="18" t="s">
        <v>66</v>
      </c>
      <c r="K16" s="3">
        <f t="shared" si="3"/>
        <v>16200</v>
      </c>
      <c r="L16">
        <f t="shared" si="4"/>
        <v>14400</v>
      </c>
      <c r="M16" s="3">
        <f t="shared" si="2"/>
        <v>8100</v>
      </c>
      <c r="R16" s="3" t="s">
        <v>23</v>
      </c>
      <c r="S16" s="3">
        <f t="shared" si="0"/>
        <v>19800</v>
      </c>
      <c r="T16" s="3">
        <v>16200</v>
      </c>
    </row>
    <row r="17" spans="1:23" ht="15.75" customHeight="1">
      <c r="A17" s="3">
        <v>25039</v>
      </c>
      <c r="B17" s="3" t="s">
        <v>70</v>
      </c>
      <c r="C17" s="3" t="s">
        <v>71</v>
      </c>
      <c r="D17" s="3" t="s">
        <v>72</v>
      </c>
      <c r="E17" s="4">
        <v>45800</v>
      </c>
      <c r="F17" s="3">
        <v>3500000</v>
      </c>
      <c r="G17" s="3">
        <v>210000</v>
      </c>
      <c r="H17" s="3">
        <f t="shared" si="1"/>
        <v>168000</v>
      </c>
      <c r="I17" s="18" t="s">
        <v>66</v>
      </c>
      <c r="J17" s="18" t="s">
        <v>66</v>
      </c>
      <c r="K17" s="3">
        <f t="shared" si="3"/>
        <v>75600</v>
      </c>
      <c r="L17">
        <f t="shared" si="4"/>
        <v>67200</v>
      </c>
      <c r="M17" s="3">
        <f t="shared" si="2"/>
        <v>37800</v>
      </c>
      <c r="R17" s="3" t="s">
        <v>23</v>
      </c>
      <c r="S17" s="3">
        <f t="shared" si="0"/>
        <v>92400</v>
      </c>
      <c r="T17" s="3">
        <v>75600</v>
      </c>
    </row>
    <row r="18" spans="1:23" ht="15.75" customHeight="1">
      <c r="A18" s="3">
        <v>25015</v>
      </c>
      <c r="B18" s="3" t="s">
        <v>73</v>
      </c>
      <c r="C18" s="3" t="s">
        <v>74</v>
      </c>
      <c r="D18" s="3" t="s">
        <v>75</v>
      </c>
      <c r="E18" s="4">
        <v>45801</v>
      </c>
      <c r="F18" s="3">
        <v>3650000</v>
      </c>
      <c r="G18" s="3">
        <v>219000</v>
      </c>
      <c r="H18" s="3">
        <f>G18/1.25</f>
        <v>175200</v>
      </c>
      <c r="I18" s="19" t="s">
        <v>36</v>
      </c>
      <c r="J18" s="19" t="s">
        <v>36</v>
      </c>
      <c r="K18" s="3">
        <f t="shared" si="3"/>
        <v>78840</v>
      </c>
      <c r="L18">
        <f t="shared" si="4"/>
        <v>70080</v>
      </c>
      <c r="M18" s="3">
        <f t="shared" si="2"/>
        <v>39420</v>
      </c>
      <c r="R18" s="3" t="s">
        <v>23</v>
      </c>
      <c r="S18" s="3">
        <f t="shared" si="0"/>
        <v>96360</v>
      </c>
      <c r="T18">
        <v>70080</v>
      </c>
    </row>
    <row r="19" spans="1:23" ht="15.75" customHeight="1">
      <c r="A19" s="3">
        <v>25038</v>
      </c>
      <c r="B19" s="3" t="s">
        <v>76</v>
      </c>
      <c r="C19" s="3" t="s">
        <v>77</v>
      </c>
      <c r="D19" s="3" t="s">
        <v>78</v>
      </c>
      <c r="E19" s="4">
        <v>45804</v>
      </c>
      <c r="F19" s="3">
        <v>650000</v>
      </c>
      <c r="G19" s="3">
        <v>45000</v>
      </c>
      <c r="H19" s="3">
        <f t="shared" si="1"/>
        <v>36000</v>
      </c>
      <c r="I19" s="17" t="s">
        <v>36</v>
      </c>
      <c r="J19" s="17" t="s">
        <v>36</v>
      </c>
      <c r="K19" s="3">
        <f t="shared" si="3"/>
        <v>16200</v>
      </c>
      <c r="L19">
        <f t="shared" si="4"/>
        <v>14400</v>
      </c>
      <c r="M19" s="3">
        <f t="shared" si="2"/>
        <v>8100</v>
      </c>
      <c r="R19" s="3" t="s">
        <v>23</v>
      </c>
      <c r="S19" s="3">
        <f t="shared" si="0"/>
        <v>19800</v>
      </c>
      <c r="T19" s="3">
        <v>14400</v>
      </c>
    </row>
    <row r="20" spans="1:23" ht="15.75" customHeight="1">
      <c r="A20" s="3">
        <v>25048</v>
      </c>
      <c r="B20" s="3" t="s">
        <v>53</v>
      </c>
      <c r="C20" s="3" t="s">
        <v>79</v>
      </c>
      <c r="D20" s="3" t="s">
        <v>80</v>
      </c>
      <c r="E20" s="4">
        <v>45805</v>
      </c>
      <c r="F20" s="3">
        <v>2200000</v>
      </c>
      <c r="G20" s="3">
        <v>83992</v>
      </c>
      <c r="H20" s="3">
        <v>83992</v>
      </c>
      <c r="I20" s="15" t="s">
        <v>22</v>
      </c>
      <c r="J20" s="15" t="s">
        <v>22</v>
      </c>
      <c r="K20" s="3">
        <f t="shared" si="3"/>
        <v>37796.400000000001</v>
      </c>
      <c r="L20">
        <f t="shared" si="4"/>
        <v>33596.800000000003</v>
      </c>
      <c r="M20" s="3">
        <f t="shared" si="2"/>
        <v>18898.2</v>
      </c>
      <c r="R20" s="3" t="s">
        <v>23</v>
      </c>
      <c r="S20" s="3">
        <f t="shared" si="0"/>
        <v>46195.6</v>
      </c>
      <c r="U20" s="3">
        <v>37796</v>
      </c>
      <c r="W20" s="3"/>
    </row>
    <row r="21" spans="1:23" ht="15.75" customHeight="1">
      <c r="A21" s="3">
        <v>25018</v>
      </c>
      <c r="B21" t="s">
        <v>81</v>
      </c>
      <c r="C21" s="3" t="s">
        <v>82</v>
      </c>
      <c r="D21" s="3" t="s">
        <v>83</v>
      </c>
      <c r="E21" s="4">
        <v>45812</v>
      </c>
      <c r="F21" s="3">
        <v>735000</v>
      </c>
      <c r="G21" s="3">
        <v>45000</v>
      </c>
      <c r="H21" s="3">
        <f t="shared" si="1"/>
        <v>36000</v>
      </c>
      <c r="I21" s="17" t="s">
        <v>36</v>
      </c>
      <c r="J21" s="17" t="s">
        <v>36</v>
      </c>
      <c r="K21" s="3">
        <f t="shared" si="3"/>
        <v>16200</v>
      </c>
      <c r="L21">
        <f t="shared" si="4"/>
        <v>14400</v>
      </c>
      <c r="M21" s="3">
        <f t="shared" si="2"/>
        <v>8100</v>
      </c>
      <c r="R21" s="3" t="s">
        <v>23</v>
      </c>
      <c r="S21" s="3">
        <f t="shared" si="0"/>
        <v>19800</v>
      </c>
      <c r="T21">
        <v>14400</v>
      </c>
      <c r="W21" s="3"/>
    </row>
    <row r="22" spans="1:23" ht="15.75" customHeight="1">
      <c r="A22" s="3">
        <v>25022</v>
      </c>
      <c r="B22" t="s">
        <v>50</v>
      </c>
      <c r="C22" s="3" t="s">
        <v>84</v>
      </c>
      <c r="D22" s="3" t="s">
        <v>85</v>
      </c>
      <c r="E22" s="4">
        <v>45814</v>
      </c>
      <c r="F22" s="3">
        <v>400000</v>
      </c>
      <c r="G22" s="3">
        <f>45000/2</f>
        <v>22500</v>
      </c>
      <c r="H22" s="3">
        <f>G22/1.25</f>
        <v>18000</v>
      </c>
      <c r="I22" s="21" t="s">
        <v>86</v>
      </c>
      <c r="J22" s="21" t="s">
        <v>86</v>
      </c>
      <c r="K22" s="3">
        <f>H22*45/100</f>
        <v>8100</v>
      </c>
      <c r="L22">
        <f>H22*40/100</f>
        <v>7200</v>
      </c>
      <c r="M22" s="3">
        <f>K22/2</f>
        <v>4050</v>
      </c>
      <c r="R22" s="3" t="s">
        <v>23</v>
      </c>
      <c r="S22" s="3">
        <f>H22*55/100</f>
        <v>9900</v>
      </c>
      <c r="T22">
        <v>7200</v>
      </c>
      <c r="W22" s="3"/>
    </row>
    <row r="23" spans="1:23" ht="15.75" customHeight="1">
      <c r="A23" s="3">
        <v>25019</v>
      </c>
      <c r="B23" s="3" t="s">
        <v>87</v>
      </c>
      <c r="C23" s="3" t="s">
        <v>88</v>
      </c>
      <c r="D23" s="3" t="s">
        <v>89</v>
      </c>
      <c r="E23" s="4">
        <v>45815</v>
      </c>
      <c r="F23" s="3">
        <v>1100000</v>
      </c>
      <c r="G23" s="3">
        <v>66000</v>
      </c>
      <c r="H23" s="3">
        <f t="shared" si="1"/>
        <v>52800</v>
      </c>
      <c r="I23" s="17" t="s">
        <v>36</v>
      </c>
      <c r="J23" s="17" t="s">
        <v>36</v>
      </c>
      <c r="K23" s="3">
        <f t="shared" si="3"/>
        <v>23760</v>
      </c>
      <c r="L23">
        <f t="shared" si="4"/>
        <v>21120</v>
      </c>
      <c r="M23" s="3">
        <f t="shared" si="2"/>
        <v>11880</v>
      </c>
      <c r="R23" s="3" t="s">
        <v>23</v>
      </c>
      <c r="S23" s="3">
        <f t="shared" si="0"/>
        <v>29040</v>
      </c>
      <c r="T23">
        <v>21120</v>
      </c>
    </row>
    <row r="24" spans="1:23" ht="15.75" customHeight="1">
      <c r="A24" s="3">
        <v>25037</v>
      </c>
      <c r="B24" s="3" t="s">
        <v>90</v>
      </c>
      <c r="C24" s="3" t="s">
        <v>91</v>
      </c>
      <c r="D24" s="3" t="s">
        <v>92</v>
      </c>
      <c r="E24" s="4">
        <v>45818</v>
      </c>
      <c r="F24" s="3">
        <v>820000</v>
      </c>
      <c r="G24" s="3">
        <v>49200</v>
      </c>
      <c r="H24" s="3">
        <f t="shared" si="1"/>
        <v>39360</v>
      </c>
      <c r="I24" s="15" t="s">
        <v>93</v>
      </c>
      <c r="J24" s="21" t="s">
        <v>86</v>
      </c>
      <c r="K24" s="3">
        <f t="shared" si="3"/>
        <v>17712</v>
      </c>
      <c r="L24">
        <f t="shared" si="4"/>
        <v>15744</v>
      </c>
      <c r="M24" s="3">
        <f t="shared" si="2"/>
        <v>8856</v>
      </c>
      <c r="R24" s="3" t="s">
        <v>23</v>
      </c>
      <c r="S24" s="3">
        <f t="shared" si="0"/>
        <v>21648</v>
      </c>
      <c r="T24" s="3">
        <v>7872</v>
      </c>
    </row>
    <row r="25" spans="1:23" ht="15.75" customHeight="1">
      <c r="A25" s="3">
        <v>24038</v>
      </c>
      <c r="B25" s="3" t="s">
        <v>94</v>
      </c>
      <c r="C25" s="3" t="s">
        <v>95</v>
      </c>
      <c r="D25" s="3" t="s">
        <v>96</v>
      </c>
      <c r="E25" s="4">
        <v>45818</v>
      </c>
      <c r="F25" s="3">
        <v>845000</v>
      </c>
      <c r="G25" s="3">
        <v>50700</v>
      </c>
      <c r="H25" s="3">
        <f t="shared" si="1"/>
        <v>40560</v>
      </c>
      <c r="I25" s="15" t="s">
        <v>22</v>
      </c>
      <c r="J25" s="17" t="s">
        <v>36</v>
      </c>
      <c r="K25" s="3">
        <f t="shared" si="3"/>
        <v>18252</v>
      </c>
      <c r="L25">
        <f t="shared" si="4"/>
        <v>16224</v>
      </c>
      <c r="M25" s="3">
        <f>K25/2</f>
        <v>9126</v>
      </c>
      <c r="R25" s="3" t="s">
        <v>23</v>
      </c>
      <c r="S25" s="3">
        <f t="shared" si="0"/>
        <v>22308</v>
      </c>
      <c r="T25" s="3">
        <v>8112</v>
      </c>
    </row>
    <row r="26" spans="1:23" ht="15.75" customHeight="1">
      <c r="A26" s="3">
        <v>24043</v>
      </c>
      <c r="B26" s="3" t="s">
        <v>97</v>
      </c>
      <c r="C26" s="3" t="s">
        <v>98</v>
      </c>
      <c r="D26" s="3" t="s">
        <v>99</v>
      </c>
      <c r="E26" s="4">
        <v>45820</v>
      </c>
      <c r="F26" s="3">
        <v>1975000</v>
      </c>
      <c r="G26" s="3">
        <v>88875</v>
      </c>
      <c r="H26" s="3">
        <f t="shared" si="1"/>
        <v>71100</v>
      </c>
      <c r="I26" s="15" t="s">
        <v>22</v>
      </c>
      <c r="J26" s="15" t="s">
        <v>22</v>
      </c>
      <c r="K26" s="3">
        <f t="shared" si="3"/>
        <v>31995</v>
      </c>
      <c r="L26">
        <f t="shared" si="4"/>
        <v>28440</v>
      </c>
      <c r="M26" s="3">
        <f t="shared" si="2"/>
        <v>15997.5</v>
      </c>
      <c r="R26" s="3" t="s">
        <v>23</v>
      </c>
      <c r="S26" s="3">
        <f t="shared" si="0"/>
        <v>39105</v>
      </c>
      <c r="U26">
        <v>31995</v>
      </c>
      <c r="W26" s="3"/>
    </row>
    <row r="27" spans="1:23" ht="15.75" customHeight="1">
      <c r="A27" s="3">
        <v>24031</v>
      </c>
      <c r="B27" s="3" t="s">
        <v>100</v>
      </c>
      <c r="C27" s="3" t="s">
        <v>101</v>
      </c>
      <c r="D27" s="3" t="s">
        <v>102</v>
      </c>
      <c r="E27" s="4">
        <v>45820</v>
      </c>
      <c r="F27" s="3">
        <v>2370000</v>
      </c>
      <c r="G27" s="3">
        <v>141300</v>
      </c>
      <c r="H27" s="3">
        <v>141300</v>
      </c>
      <c r="I27" s="15" t="s">
        <v>22</v>
      </c>
      <c r="J27" s="15" t="s">
        <v>22</v>
      </c>
      <c r="K27" s="3">
        <f t="shared" si="3"/>
        <v>63585</v>
      </c>
      <c r="L27">
        <f t="shared" si="4"/>
        <v>56520</v>
      </c>
      <c r="M27" s="3">
        <f t="shared" si="2"/>
        <v>31792.5</v>
      </c>
      <c r="R27" s="3" t="s">
        <v>23</v>
      </c>
      <c r="S27" s="3">
        <f t="shared" si="0"/>
        <v>77715</v>
      </c>
      <c r="U27" s="3">
        <v>63585</v>
      </c>
    </row>
    <row r="28" spans="1:23" ht="15.75" customHeight="1">
      <c r="A28" s="3">
        <v>25041</v>
      </c>
      <c r="B28" s="3" t="s">
        <v>29</v>
      </c>
      <c r="C28" s="3" t="s">
        <v>62</v>
      </c>
      <c r="D28" s="3" t="s">
        <v>103</v>
      </c>
      <c r="E28" s="4">
        <v>45825</v>
      </c>
      <c r="F28" s="3">
        <v>1050000</v>
      </c>
      <c r="G28" s="3">
        <v>50000</v>
      </c>
      <c r="H28" s="3">
        <f t="shared" si="1"/>
        <v>40000</v>
      </c>
      <c r="I28" s="15" t="s">
        <v>22</v>
      </c>
      <c r="J28" s="15" t="s">
        <v>22</v>
      </c>
      <c r="K28" s="3">
        <f t="shared" si="3"/>
        <v>18000</v>
      </c>
      <c r="L28">
        <f t="shared" si="4"/>
        <v>16000</v>
      </c>
      <c r="M28" s="3">
        <f t="shared" si="2"/>
        <v>9000</v>
      </c>
      <c r="R28" s="3" t="s">
        <v>23</v>
      </c>
      <c r="S28" s="3">
        <f t="shared" si="0"/>
        <v>22000</v>
      </c>
      <c r="U28" s="3">
        <v>18000</v>
      </c>
    </row>
    <row r="29" spans="1:23" ht="15.75" customHeight="1">
      <c r="A29">
        <v>25036</v>
      </c>
      <c r="B29" t="s">
        <v>25</v>
      </c>
      <c r="C29" t="s">
        <v>27</v>
      </c>
      <c r="D29" t="s">
        <v>104</v>
      </c>
      <c r="E29" s="10">
        <v>45826</v>
      </c>
      <c r="F29">
        <v>750000</v>
      </c>
      <c r="G29">
        <v>45000</v>
      </c>
      <c r="H29" s="3">
        <f t="shared" si="1"/>
        <v>36000</v>
      </c>
      <c r="I29" s="22" t="s">
        <v>22</v>
      </c>
      <c r="J29" s="23" t="s">
        <v>86</v>
      </c>
      <c r="K29" s="3">
        <f t="shared" si="3"/>
        <v>16200</v>
      </c>
      <c r="L29">
        <f t="shared" si="4"/>
        <v>14400</v>
      </c>
      <c r="M29" s="3">
        <f t="shared" si="2"/>
        <v>8100</v>
      </c>
      <c r="R29" t="s">
        <v>23</v>
      </c>
      <c r="S29">
        <f>H29*55/100</f>
        <v>19800</v>
      </c>
      <c r="T29">
        <v>7200</v>
      </c>
      <c r="U29">
        <v>8100</v>
      </c>
    </row>
    <row r="30" spans="1:23" ht="15.75" customHeight="1">
      <c r="A30" s="3">
        <v>25045</v>
      </c>
      <c r="B30" s="3" t="s">
        <v>94</v>
      </c>
      <c r="C30" s="3" t="s">
        <v>105</v>
      </c>
      <c r="D30" s="9" t="s">
        <v>106</v>
      </c>
      <c r="E30" s="4">
        <v>45829</v>
      </c>
      <c r="F30" s="3">
        <v>865000</v>
      </c>
      <c r="G30" s="3">
        <v>51900</v>
      </c>
      <c r="H30" s="3">
        <f t="shared" si="1"/>
        <v>41520</v>
      </c>
      <c r="I30" s="17" t="s">
        <v>36</v>
      </c>
      <c r="J30" s="17" t="s">
        <v>36</v>
      </c>
      <c r="K30" s="3">
        <f t="shared" si="3"/>
        <v>18684</v>
      </c>
      <c r="L30">
        <f t="shared" si="4"/>
        <v>16608</v>
      </c>
      <c r="M30" s="3">
        <f t="shared" si="2"/>
        <v>9342</v>
      </c>
      <c r="R30" s="3" t="s">
        <v>23</v>
      </c>
      <c r="S30" s="3">
        <f>H30*55/100</f>
        <v>22836</v>
      </c>
      <c r="T30">
        <v>16608</v>
      </c>
    </row>
    <row r="31" spans="1:23" ht="15.75" customHeight="1">
      <c r="A31">
        <v>25010</v>
      </c>
      <c r="B31" s="3" t="s">
        <v>107</v>
      </c>
      <c r="C31" s="3" t="s">
        <v>108</v>
      </c>
      <c r="D31" s="3" t="s">
        <v>109</v>
      </c>
      <c r="E31" s="4">
        <v>45832</v>
      </c>
      <c r="F31" s="3">
        <v>760000</v>
      </c>
      <c r="G31" s="3">
        <v>45600</v>
      </c>
      <c r="H31" s="3">
        <f>G31/1.25</f>
        <v>36480</v>
      </c>
      <c r="I31" s="15" t="s">
        <v>22</v>
      </c>
      <c r="J31" s="17" t="s">
        <v>36</v>
      </c>
      <c r="K31" s="3">
        <f t="shared" si="3"/>
        <v>16416</v>
      </c>
      <c r="L31">
        <f t="shared" si="4"/>
        <v>14592</v>
      </c>
      <c r="M31" s="3">
        <f>K31/2</f>
        <v>8208</v>
      </c>
      <c r="R31" s="3" t="s">
        <v>23</v>
      </c>
      <c r="S31" s="3">
        <f t="shared" si="0"/>
        <v>20064</v>
      </c>
      <c r="T31" s="3">
        <v>7296</v>
      </c>
      <c r="U31">
        <v>8208</v>
      </c>
    </row>
    <row r="32" spans="1:23" ht="15.75" customHeight="1">
      <c r="A32" s="3">
        <v>25042</v>
      </c>
      <c r="B32" s="3" t="s">
        <v>110</v>
      </c>
      <c r="C32" s="3" t="s">
        <v>111</v>
      </c>
      <c r="D32" s="3" t="s">
        <v>112</v>
      </c>
      <c r="E32" s="4">
        <v>45833</v>
      </c>
      <c r="F32" s="3">
        <v>3500000</v>
      </c>
      <c r="G32" s="3">
        <v>210000</v>
      </c>
      <c r="H32" s="3">
        <f>G32/1.25</f>
        <v>168000</v>
      </c>
      <c r="I32" s="15" t="s">
        <v>22</v>
      </c>
      <c r="J32" s="24" t="s">
        <v>66</v>
      </c>
      <c r="K32" s="3">
        <f t="shared" si="3"/>
        <v>75600</v>
      </c>
      <c r="L32">
        <f t="shared" si="4"/>
        <v>67200</v>
      </c>
      <c r="M32" s="3">
        <f t="shared" si="2"/>
        <v>37800</v>
      </c>
      <c r="P32">
        <v>24000</v>
      </c>
      <c r="R32" s="3" t="s">
        <v>23</v>
      </c>
      <c r="S32" s="3">
        <f t="shared" si="0"/>
        <v>92400</v>
      </c>
      <c r="T32" s="3">
        <v>37800</v>
      </c>
      <c r="U32">
        <v>37800</v>
      </c>
    </row>
    <row r="33" spans="1:21" ht="15.75" customHeight="1">
      <c r="A33" s="3">
        <v>25020</v>
      </c>
      <c r="B33" s="3" t="s">
        <v>113</v>
      </c>
      <c r="C33" s="3" t="s">
        <v>114</v>
      </c>
      <c r="D33" s="3" t="s">
        <v>115</v>
      </c>
      <c r="E33" s="4">
        <v>45835</v>
      </c>
      <c r="F33" s="3">
        <v>550000</v>
      </c>
      <c r="G33" s="3">
        <v>45000</v>
      </c>
      <c r="H33" s="3">
        <v>36000</v>
      </c>
      <c r="I33" s="15" t="s">
        <v>93</v>
      </c>
      <c r="J33" s="17" t="s">
        <v>36</v>
      </c>
      <c r="K33" s="3">
        <f t="shared" si="3"/>
        <v>16200</v>
      </c>
      <c r="L33">
        <f t="shared" si="4"/>
        <v>14400</v>
      </c>
      <c r="M33" s="3">
        <f t="shared" si="2"/>
        <v>8100</v>
      </c>
      <c r="R33" s="3" t="s">
        <v>23</v>
      </c>
      <c r="S33" s="3">
        <f t="shared" si="0"/>
        <v>19800</v>
      </c>
      <c r="T33" s="3">
        <v>7200</v>
      </c>
      <c r="U33">
        <v>8100</v>
      </c>
    </row>
    <row r="34" spans="1:21" ht="15.75" customHeight="1">
      <c r="A34" s="3">
        <v>25009</v>
      </c>
      <c r="B34" s="3" t="s">
        <v>56</v>
      </c>
      <c r="C34" s="3" t="s">
        <v>116</v>
      </c>
      <c r="D34" s="3" t="s">
        <v>117</v>
      </c>
      <c r="E34" s="4">
        <v>45835</v>
      </c>
      <c r="F34" s="3">
        <v>350000</v>
      </c>
      <c r="G34" s="3">
        <v>45000</v>
      </c>
      <c r="H34" s="3">
        <v>36000</v>
      </c>
      <c r="I34" s="15" t="s">
        <v>93</v>
      </c>
      <c r="J34" s="17" t="s">
        <v>36</v>
      </c>
      <c r="K34" s="3">
        <f t="shared" si="3"/>
        <v>16200</v>
      </c>
      <c r="L34">
        <f t="shared" si="4"/>
        <v>14400</v>
      </c>
      <c r="M34" s="3">
        <f t="shared" si="2"/>
        <v>8100</v>
      </c>
      <c r="R34" s="3" t="s">
        <v>23</v>
      </c>
      <c r="S34" s="3">
        <f t="shared" si="0"/>
        <v>19800</v>
      </c>
      <c r="T34">
        <v>7200</v>
      </c>
      <c r="U34">
        <v>8100</v>
      </c>
    </row>
    <row r="35" spans="1:21" ht="15.75" customHeight="1">
      <c r="A35" s="3">
        <v>25024</v>
      </c>
      <c r="B35" s="3" t="s">
        <v>118</v>
      </c>
      <c r="C35" s="3" t="s">
        <v>119</v>
      </c>
      <c r="D35" s="3" t="s">
        <v>120</v>
      </c>
      <c r="E35" s="4">
        <v>45835</v>
      </c>
      <c r="F35" s="3">
        <v>850000</v>
      </c>
      <c r="G35" s="3">
        <v>51000</v>
      </c>
      <c r="H35" s="3">
        <v>40800</v>
      </c>
      <c r="I35" s="17" t="s">
        <v>36</v>
      </c>
      <c r="J35" s="17" t="s">
        <v>36</v>
      </c>
      <c r="K35" s="3">
        <f t="shared" si="3"/>
        <v>18360</v>
      </c>
      <c r="L35">
        <f t="shared" si="4"/>
        <v>16320</v>
      </c>
      <c r="M35" s="3">
        <f t="shared" si="2"/>
        <v>9180</v>
      </c>
      <c r="R35" s="3" t="s">
        <v>23</v>
      </c>
      <c r="S35" s="3">
        <f t="shared" si="0"/>
        <v>22440</v>
      </c>
      <c r="T35" s="3">
        <v>13052</v>
      </c>
    </row>
    <row r="36" spans="1:21" ht="15.75" customHeight="1">
      <c r="A36" s="3">
        <v>23038</v>
      </c>
      <c r="B36" s="3" t="s">
        <v>121</v>
      </c>
      <c r="C36" s="3" t="s">
        <v>122</v>
      </c>
      <c r="D36" s="3" t="s">
        <v>123</v>
      </c>
      <c r="E36" s="7">
        <v>45839</v>
      </c>
      <c r="F36" s="3">
        <v>1450000</v>
      </c>
      <c r="G36" s="3">
        <v>87000</v>
      </c>
      <c r="H36" s="3">
        <v>69600</v>
      </c>
      <c r="I36" s="15" t="s">
        <v>22</v>
      </c>
      <c r="J36" s="15" t="s">
        <v>124</v>
      </c>
      <c r="K36" s="3">
        <f t="shared" si="3"/>
        <v>31320</v>
      </c>
      <c r="L36">
        <f t="shared" si="4"/>
        <v>27840</v>
      </c>
      <c r="M36" s="3">
        <f t="shared" si="2"/>
        <v>15660</v>
      </c>
      <c r="N36">
        <v>6960</v>
      </c>
      <c r="R36" s="3" t="s">
        <v>23</v>
      </c>
      <c r="S36" s="3">
        <f t="shared" si="0"/>
        <v>38280</v>
      </c>
      <c r="U36">
        <v>31320</v>
      </c>
    </row>
    <row r="37" spans="1:21" ht="15.75" customHeight="1">
      <c r="A37" s="3">
        <v>25004</v>
      </c>
      <c r="B37" s="3" t="s">
        <v>125</v>
      </c>
      <c r="C37" s="3" t="s">
        <v>126</v>
      </c>
      <c r="D37" s="3" t="s">
        <v>127</v>
      </c>
      <c r="E37" s="7">
        <v>45842</v>
      </c>
      <c r="F37" s="3">
        <v>1250000</v>
      </c>
      <c r="G37" s="3">
        <v>75000</v>
      </c>
      <c r="H37" s="3">
        <f>G37/1.25</f>
        <v>60000</v>
      </c>
      <c r="I37" s="17" t="s">
        <v>36</v>
      </c>
      <c r="J37" s="17" t="s">
        <v>36</v>
      </c>
      <c r="K37" s="3">
        <f t="shared" si="3"/>
        <v>27000</v>
      </c>
      <c r="L37">
        <f t="shared" si="4"/>
        <v>24000</v>
      </c>
      <c r="M37" s="3">
        <f t="shared" si="2"/>
        <v>13500</v>
      </c>
      <c r="R37" s="3" t="s">
        <v>23</v>
      </c>
      <c r="S37" s="3">
        <f t="shared" si="0"/>
        <v>33000</v>
      </c>
      <c r="T37" s="3">
        <v>24000</v>
      </c>
    </row>
    <row r="38" spans="1:21" ht="15.75" customHeight="1">
      <c r="A38" s="3">
        <v>25017</v>
      </c>
      <c r="B38" s="3" t="s">
        <v>128</v>
      </c>
      <c r="C38" s="3" t="s">
        <v>129</v>
      </c>
      <c r="D38" s="3" t="s">
        <v>130</v>
      </c>
      <c r="E38" s="4">
        <v>45859</v>
      </c>
      <c r="F38" s="3">
        <v>620000</v>
      </c>
      <c r="G38" s="3">
        <v>45000</v>
      </c>
      <c r="H38" s="3">
        <v>36000</v>
      </c>
      <c r="I38" s="15" t="s">
        <v>93</v>
      </c>
      <c r="J38" s="19" t="s">
        <v>36</v>
      </c>
      <c r="K38" s="3">
        <f t="shared" si="3"/>
        <v>16200</v>
      </c>
      <c r="L38">
        <f t="shared" si="4"/>
        <v>14400</v>
      </c>
      <c r="M38" s="3">
        <f t="shared" si="2"/>
        <v>8100</v>
      </c>
      <c r="R38" s="3" t="s">
        <v>23</v>
      </c>
      <c r="S38" s="3">
        <f t="shared" si="0"/>
        <v>19800</v>
      </c>
      <c r="T38">
        <v>7200</v>
      </c>
      <c r="U38">
        <v>8100</v>
      </c>
    </row>
    <row r="39" spans="1:21" ht="15.75" customHeight="1">
      <c r="A39">
        <v>25032</v>
      </c>
      <c r="B39" t="s">
        <v>131</v>
      </c>
      <c r="C39" t="s">
        <v>132</v>
      </c>
      <c r="D39" t="s">
        <v>133</v>
      </c>
      <c r="E39" s="10">
        <v>45860</v>
      </c>
      <c r="F39">
        <v>475000</v>
      </c>
      <c r="G39">
        <v>35000</v>
      </c>
      <c r="H39">
        <v>28000</v>
      </c>
      <c r="I39" s="11" t="s">
        <v>36</v>
      </c>
      <c r="J39" s="11" t="s">
        <v>36</v>
      </c>
      <c r="K39" s="3">
        <f>H39*45/100</f>
        <v>12600</v>
      </c>
      <c r="L39">
        <f>H39*40/100</f>
        <v>11200</v>
      </c>
      <c r="M39" s="3">
        <f>K39/2</f>
        <v>6300</v>
      </c>
      <c r="R39" t="s">
        <v>23</v>
      </c>
      <c r="S39" s="3">
        <f>H39*55/100</f>
        <v>15400</v>
      </c>
      <c r="T39">
        <v>11200</v>
      </c>
    </row>
    <row r="40" spans="1:21" ht="15.75" customHeight="1">
      <c r="A40" s="3">
        <v>25028</v>
      </c>
      <c r="B40" s="3" t="s">
        <v>25</v>
      </c>
      <c r="C40" s="3" t="s">
        <v>134</v>
      </c>
      <c r="D40" s="3" t="s">
        <v>135</v>
      </c>
      <c r="E40" s="4">
        <v>45861</v>
      </c>
      <c r="F40" s="3">
        <v>840000</v>
      </c>
      <c r="G40" s="3">
        <v>50400</v>
      </c>
      <c r="H40" s="3">
        <v>40320</v>
      </c>
      <c r="I40" s="25" t="s">
        <v>86</v>
      </c>
      <c r="J40" s="25" t="s">
        <v>86</v>
      </c>
      <c r="K40" s="3">
        <f t="shared" si="3"/>
        <v>18144</v>
      </c>
      <c r="L40">
        <f t="shared" si="4"/>
        <v>16128</v>
      </c>
      <c r="M40" s="3">
        <f t="shared" si="2"/>
        <v>9072</v>
      </c>
      <c r="R40" t="s">
        <v>23</v>
      </c>
      <c r="S40" s="3">
        <f t="shared" si="0"/>
        <v>22176</v>
      </c>
      <c r="T40">
        <v>16128</v>
      </c>
    </row>
    <row r="41" spans="1:21" ht="15.75" customHeight="1">
      <c r="A41" s="3">
        <v>25002</v>
      </c>
      <c r="B41" s="3" t="s">
        <v>50</v>
      </c>
      <c r="C41" s="3" t="s">
        <v>136</v>
      </c>
      <c r="D41" s="3" t="s">
        <v>137</v>
      </c>
      <c r="E41" s="4">
        <v>45862</v>
      </c>
      <c r="F41" s="3">
        <v>1550000</v>
      </c>
      <c r="G41" s="3">
        <v>77500</v>
      </c>
      <c r="H41" s="3">
        <v>62000</v>
      </c>
      <c r="I41" s="15" t="s">
        <v>93</v>
      </c>
      <c r="J41" s="17" t="s">
        <v>36</v>
      </c>
      <c r="K41" s="3">
        <f t="shared" si="3"/>
        <v>27900</v>
      </c>
      <c r="L41">
        <f t="shared" si="4"/>
        <v>24800</v>
      </c>
      <c r="M41" s="3">
        <f t="shared" si="2"/>
        <v>13950</v>
      </c>
      <c r="R41" t="s">
        <v>23</v>
      </c>
      <c r="S41" s="3">
        <f t="shared" si="0"/>
        <v>34100</v>
      </c>
      <c r="T41">
        <v>12400</v>
      </c>
      <c r="U41">
        <v>13950</v>
      </c>
    </row>
    <row r="42" spans="1:21" ht="15.75" customHeight="1">
      <c r="A42">
        <v>25031</v>
      </c>
      <c r="B42" t="s">
        <v>138</v>
      </c>
      <c r="C42" t="s">
        <v>139</v>
      </c>
      <c r="D42" t="s">
        <v>140</v>
      </c>
      <c r="E42" s="10">
        <v>45863</v>
      </c>
      <c r="F42">
        <v>3300000</v>
      </c>
      <c r="G42">
        <v>198000</v>
      </c>
      <c r="H42">
        <v>158400</v>
      </c>
      <c r="I42" s="22" t="s">
        <v>93</v>
      </c>
      <c r="J42" s="11" t="s">
        <v>36</v>
      </c>
      <c r="K42" s="3">
        <f t="shared" si="3"/>
        <v>71280</v>
      </c>
      <c r="L42">
        <f t="shared" si="4"/>
        <v>63360</v>
      </c>
      <c r="M42" s="3">
        <f t="shared" si="2"/>
        <v>35640</v>
      </c>
      <c r="R42" t="s">
        <v>23</v>
      </c>
      <c r="S42" s="3">
        <f t="shared" si="0"/>
        <v>87120</v>
      </c>
      <c r="T42">
        <v>31680</v>
      </c>
      <c r="U42">
        <v>35640</v>
      </c>
    </row>
    <row r="43" spans="1:21" ht="15.75" customHeight="1">
      <c r="A43">
        <v>25059</v>
      </c>
      <c r="B43" t="s">
        <v>141</v>
      </c>
      <c r="C43" t="s">
        <v>142</v>
      </c>
      <c r="D43" t="s">
        <v>143</v>
      </c>
      <c r="E43" s="10">
        <v>45863</v>
      </c>
      <c r="F43">
        <v>760000</v>
      </c>
      <c r="G43">
        <v>22800</v>
      </c>
      <c r="H43">
        <v>18240</v>
      </c>
      <c r="I43" s="11" t="s">
        <v>36</v>
      </c>
      <c r="J43" s="11" t="s">
        <v>36</v>
      </c>
      <c r="K43" s="3">
        <f t="shared" ref="K43" si="5">H43*45/100</f>
        <v>8208</v>
      </c>
      <c r="L43">
        <f t="shared" ref="L43" si="6">H43*40/100</f>
        <v>7296</v>
      </c>
      <c r="M43" s="3">
        <f t="shared" ref="M43" si="7">K43/2</f>
        <v>4104</v>
      </c>
      <c r="R43" t="s">
        <v>23</v>
      </c>
      <c r="S43" s="3">
        <f t="shared" si="0"/>
        <v>10032</v>
      </c>
      <c r="T43">
        <v>7296</v>
      </c>
    </row>
    <row r="44" spans="1:21" ht="15.75" customHeight="1">
      <c r="A44">
        <v>25047</v>
      </c>
      <c r="B44" t="s">
        <v>144</v>
      </c>
      <c r="C44" t="s">
        <v>145</v>
      </c>
      <c r="D44" t="s">
        <v>146</v>
      </c>
      <c r="E44" s="10">
        <v>45863</v>
      </c>
      <c r="F44">
        <v>2100000</v>
      </c>
      <c r="G44">
        <v>126000</v>
      </c>
      <c r="H44">
        <f>G44/1.25</f>
        <v>100800</v>
      </c>
      <c r="I44" s="26" t="s">
        <v>66</v>
      </c>
      <c r="J44" s="26" t="s">
        <v>66</v>
      </c>
      <c r="K44" s="3">
        <f>H44*45/100</f>
        <v>45360</v>
      </c>
      <c r="L44">
        <f>H44*40/100</f>
        <v>40320</v>
      </c>
      <c r="M44" s="3">
        <f>K44/2</f>
        <v>22680</v>
      </c>
      <c r="R44" t="s">
        <v>23</v>
      </c>
      <c r="S44" s="3">
        <f>H44*55/100</f>
        <v>55440</v>
      </c>
      <c r="T44">
        <v>45360</v>
      </c>
    </row>
    <row r="45" spans="1:21" ht="15.75" customHeight="1">
      <c r="A45">
        <v>25030</v>
      </c>
      <c r="B45" t="s">
        <v>147</v>
      </c>
      <c r="C45" t="s">
        <v>148</v>
      </c>
      <c r="D45" t="s">
        <v>149</v>
      </c>
      <c r="E45" s="10">
        <v>45868</v>
      </c>
      <c r="F45">
        <v>1750000</v>
      </c>
      <c r="G45">
        <v>80000</v>
      </c>
      <c r="H45">
        <v>64000</v>
      </c>
      <c r="I45" s="22" t="s">
        <v>93</v>
      </c>
      <c r="J45" s="27" t="s">
        <v>150</v>
      </c>
      <c r="K45" s="3">
        <f>H45*45/100</f>
        <v>28800</v>
      </c>
      <c r="L45">
        <f>H45*40/100</f>
        <v>25600</v>
      </c>
      <c r="M45" s="3">
        <f>K45/2</f>
        <v>14400</v>
      </c>
      <c r="R45" t="s">
        <v>23</v>
      </c>
      <c r="S45" s="3">
        <f>H45*55/100</f>
        <v>35200</v>
      </c>
      <c r="T45">
        <v>10400</v>
      </c>
      <c r="U45">
        <v>11700</v>
      </c>
    </row>
    <row r="46" spans="1:21" ht="15.75" customHeight="1">
      <c r="A46">
        <v>25054</v>
      </c>
      <c r="B46" t="s">
        <v>151</v>
      </c>
      <c r="C46" t="s">
        <v>152</v>
      </c>
      <c r="D46" t="s">
        <v>153</v>
      </c>
      <c r="E46" s="10">
        <v>45869</v>
      </c>
      <c r="F46">
        <v>750000</v>
      </c>
      <c r="G46">
        <v>45000</v>
      </c>
      <c r="H46">
        <v>36000</v>
      </c>
      <c r="I46" s="11" t="s">
        <v>36</v>
      </c>
      <c r="J46" s="11" t="s">
        <v>36</v>
      </c>
      <c r="K46" s="3">
        <f>H46*45/100</f>
        <v>16200</v>
      </c>
      <c r="L46">
        <f>H46*40/100</f>
        <v>14400</v>
      </c>
      <c r="M46" s="3">
        <f>K46/2</f>
        <v>8100</v>
      </c>
      <c r="R46" t="s">
        <v>23</v>
      </c>
      <c r="S46">
        <f>H46*55/100</f>
        <v>19800</v>
      </c>
      <c r="T46">
        <v>14400</v>
      </c>
    </row>
    <row r="47" spans="1:21" ht="15.75" customHeight="1">
      <c r="A47">
        <v>25021</v>
      </c>
      <c r="B47" t="s">
        <v>154</v>
      </c>
      <c r="C47" t="s">
        <v>155</v>
      </c>
      <c r="D47" t="s">
        <v>156</v>
      </c>
      <c r="E47" s="10">
        <v>45869</v>
      </c>
      <c r="F47">
        <v>440000</v>
      </c>
      <c r="G47">
        <v>45000</v>
      </c>
      <c r="H47">
        <v>36000</v>
      </c>
      <c r="I47" s="11" t="s">
        <v>36</v>
      </c>
      <c r="J47" s="11" t="s">
        <v>36</v>
      </c>
      <c r="K47" s="3">
        <f>H47*45/100</f>
        <v>16200</v>
      </c>
      <c r="L47">
        <f>H47*40/100</f>
        <v>14400</v>
      </c>
      <c r="M47" s="3">
        <f>K47/2</f>
        <v>8100</v>
      </c>
      <c r="R47" t="s">
        <v>23</v>
      </c>
      <c r="S47" s="3">
        <f>H47*55/100</f>
        <v>19800</v>
      </c>
      <c r="T47">
        <v>14400</v>
      </c>
    </row>
    <row r="48" spans="1:21" ht="15.75" customHeight="1">
      <c r="A48">
        <v>25046</v>
      </c>
      <c r="B48" t="s">
        <v>157</v>
      </c>
      <c r="C48" t="s">
        <v>158</v>
      </c>
      <c r="D48" t="s">
        <v>159</v>
      </c>
      <c r="E48" s="10">
        <v>45875</v>
      </c>
      <c r="F48">
        <v>1125000</v>
      </c>
      <c r="G48">
        <v>67500</v>
      </c>
      <c r="H48">
        <v>54000</v>
      </c>
      <c r="I48" s="23" t="s">
        <v>86</v>
      </c>
      <c r="J48" s="23" t="s">
        <v>86</v>
      </c>
      <c r="K48" s="3">
        <f>H48*45/100</f>
        <v>24300</v>
      </c>
      <c r="L48">
        <f>H48*40/100</f>
        <v>21600</v>
      </c>
      <c r="M48" s="3">
        <f>K48/2</f>
        <v>12150</v>
      </c>
      <c r="R48" t="s">
        <v>23</v>
      </c>
      <c r="S48" s="3">
        <f>H48*55/100</f>
        <v>29700</v>
      </c>
      <c r="T48">
        <v>21600</v>
      </c>
    </row>
    <row r="49" spans="1:21" ht="15.75" customHeight="1">
      <c r="A49">
        <v>25040</v>
      </c>
      <c r="B49" t="s">
        <v>160</v>
      </c>
      <c r="C49" t="s">
        <v>161</v>
      </c>
      <c r="D49" t="s">
        <v>162</v>
      </c>
      <c r="E49" s="10">
        <v>45882</v>
      </c>
      <c r="F49">
        <v>750000</v>
      </c>
      <c r="G49">
        <v>45000</v>
      </c>
      <c r="H49">
        <v>36000</v>
      </c>
      <c r="I49" s="23" t="s">
        <v>86</v>
      </c>
      <c r="J49" s="23" t="s">
        <v>86</v>
      </c>
      <c r="K49" s="3">
        <f>H49*45/100</f>
        <v>16200</v>
      </c>
      <c r="L49">
        <f>H49*40/100</f>
        <v>14400</v>
      </c>
      <c r="M49" s="3">
        <f>K49/2</f>
        <v>8100</v>
      </c>
      <c r="R49" t="s">
        <v>23</v>
      </c>
      <c r="S49" s="3">
        <f>H49*55/100</f>
        <v>19800</v>
      </c>
      <c r="T49">
        <v>14400</v>
      </c>
    </row>
    <row r="50" spans="1:21" ht="15.75" customHeight="1">
      <c r="A50">
        <v>25005</v>
      </c>
      <c r="B50" t="s">
        <v>163</v>
      </c>
      <c r="C50" t="s">
        <v>164</v>
      </c>
      <c r="D50" t="s">
        <v>165</v>
      </c>
      <c r="E50" s="10">
        <v>45897</v>
      </c>
      <c r="F50">
        <v>2400000</v>
      </c>
      <c r="G50">
        <v>144000</v>
      </c>
      <c r="H50">
        <v>115200</v>
      </c>
      <c r="I50" s="22" t="s">
        <v>93</v>
      </c>
      <c r="J50" s="22" t="s">
        <v>22</v>
      </c>
      <c r="K50" s="3">
        <f>H50*45/100</f>
        <v>51840</v>
      </c>
      <c r="L50">
        <f>H50*40/100</f>
        <v>46080</v>
      </c>
      <c r="M50" s="3">
        <f>K50/2</f>
        <v>25920</v>
      </c>
      <c r="R50" t="s">
        <v>23</v>
      </c>
      <c r="S50" s="3">
        <f>H50*55/100</f>
        <v>63360</v>
      </c>
      <c r="U50">
        <v>51840</v>
      </c>
    </row>
    <row r="51" spans="1:21" ht="15.75" customHeight="1">
      <c r="A51">
        <v>25069</v>
      </c>
      <c r="B51" t="s">
        <v>56</v>
      </c>
      <c r="C51" t="s">
        <v>96</v>
      </c>
      <c r="D51" t="s">
        <v>166</v>
      </c>
      <c r="E51" s="10">
        <v>45889</v>
      </c>
      <c r="F51">
        <v>320000</v>
      </c>
      <c r="G51">
        <v>45000</v>
      </c>
      <c r="H51">
        <v>36000</v>
      </c>
      <c r="I51" s="11" t="s">
        <v>36</v>
      </c>
      <c r="J51" s="11" t="s">
        <v>36</v>
      </c>
      <c r="K51" s="3">
        <f t="shared" ref="K50:K51" si="8">H51*45/100</f>
        <v>16200</v>
      </c>
      <c r="L51">
        <f t="shared" ref="L50:L51" si="9">H51*40/100</f>
        <v>14400</v>
      </c>
      <c r="M51" s="3">
        <f t="shared" ref="M50:M51" si="10">K51/2</f>
        <v>8100</v>
      </c>
      <c r="R51" t="s">
        <v>23</v>
      </c>
      <c r="S51" s="3">
        <f t="shared" si="0"/>
        <v>19800</v>
      </c>
      <c r="T51">
        <v>14400</v>
      </c>
    </row>
    <row r="52" spans="1:21" ht="15.75" customHeight="1">
      <c r="A52">
        <v>25058</v>
      </c>
      <c r="B52" t="s">
        <v>167</v>
      </c>
      <c r="C52" t="s">
        <v>168</v>
      </c>
      <c r="D52" t="s">
        <v>169</v>
      </c>
      <c r="E52" s="10">
        <v>45890</v>
      </c>
      <c r="F52">
        <v>1025000</v>
      </c>
      <c r="G52">
        <v>61500</v>
      </c>
      <c r="H52">
        <v>49200</v>
      </c>
      <c r="I52" s="20" t="s">
        <v>86</v>
      </c>
      <c r="J52" s="20" t="s">
        <v>86</v>
      </c>
      <c r="K52" s="3">
        <f t="shared" ref="K52" si="11">H52*45/100</f>
        <v>22140</v>
      </c>
      <c r="L52">
        <f t="shared" ref="L52" si="12">H52*40/100</f>
        <v>19680</v>
      </c>
      <c r="M52" s="3">
        <f t="shared" ref="M52" si="13">K52/2</f>
        <v>11070</v>
      </c>
      <c r="R52" t="s">
        <v>23</v>
      </c>
      <c r="S52" s="3">
        <f t="shared" si="0"/>
        <v>27060</v>
      </c>
      <c r="T52">
        <v>19680</v>
      </c>
    </row>
    <row r="53" spans="1:21" ht="15.75" customHeight="1">
      <c r="A53">
        <v>21026</v>
      </c>
      <c r="B53" t="s">
        <v>170</v>
      </c>
      <c r="C53" t="s">
        <v>171</v>
      </c>
      <c r="D53" t="s">
        <v>172</v>
      </c>
      <c r="E53" s="10">
        <v>45895</v>
      </c>
      <c r="F53">
        <v>450000</v>
      </c>
      <c r="G53">
        <v>50000</v>
      </c>
      <c r="H53">
        <v>50000</v>
      </c>
      <c r="I53" s="26" t="s">
        <v>66</v>
      </c>
      <c r="J53" s="26" t="s">
        <v>66</v>
      </c>
      <c r="K53" s="3">
        <f t="shared" ref="K53" si="14">H53*45/100</f>
        <v>22500</v>
      </c>
      <c r="L53">
        <f t="shared" ref="L53" si="15">H53*40/100</f>
        <v>20000</v>
      </c>
      <c r="M53" s="3">
        <f t="shared" ref="M53" si="16">K53/2</f>
        <v>11250</v>
      </c>
      <c r="R53" t="s">
        <v>23</v>
      </c>
      <c r="S53" s="3">
        <f t="shared" si="0"/>
        <v>27500</v>
      </c>
      <c r="T53">
        <v>16200</v>
      </c>
    </row>
    <row r="54" spans="1:21" ht="15.75" customHeight="1">
      <c r="A54">
        <v>25062</v>
      </c>
      <c r="B54" t="s">
        <v>41</v>
      </c>
      <c r="C54" t="s">
        <v>173</v>
      </c>
      <c r="D54" t="s">
        <v>174</v>
      </c>
      <c r="E54" s="10">
        <v>45898</v>
      </c>
      <c r="F54">
        <v>1600000</v>
      </c>
      <c r="G54">
        <v>96000</v>
      </c>
      <c r="H54">
        <v>76800</v>
      </c>
      <c r="I54" s="22" t="s">
        <v>93</v>
      </c>
      <c r="J54" s="22" t="s">
        <v>22</v>
      </c>
      <c r="K54" s="3">
        <f t="shared" ref="K54" si="17">H54*45/100</f>
        <v>34560</v>
      </c>
      <c r="L54">
        <f t="shared" ref="L54" si="18">H54*40/100</f>
        <v>30720</v>
      </c>
      <c r="M54" s="3">
        <f t="shared" ref="M54" si="19">K54/2</f>
        <v>17280</v>
      </c>
      <c r="R54" t="s">
        <v>23</v>
      </c>
      <c r="S54" s="3">
        <f t="shared" si="0"/>
        <v>42240</v>
      </c>
      <c r="U54">
        <v>34560</v>
      </c>
    </row>
    <row r="55" spans="1:21" ht="15.75" customHeight="1">
      <c r="A55">
        <v>25034</v>
      </c>
      <c r="B55" t="s">
        <v>175</v>
      </c>
      <c r="C55" t="s">
        <v>176</v>
      </c>
      <c r="D55" t="s">
        <v>177</v>
      </c>
      <c r="E55" s="10">
        <v>45901</v>
      </c>
      <c r="F55">
        <v>1490000</v>
      </c>
      <c r="G55">
        <v>89400</v>
      </c>
      <c r="H55">
        <v>71520</v>
      </c>
      <c r="I55" s="20" t="s">
        <v>86</v>
      </c>
      <c r="J55" s="20" t="s">
        <v>86</v>
      </c>
      <c r="K55" s="3">
        <f t="shared" ref="K55" si="20">H55*45/100</f>
        <v>32184</v>
      </c>
      <c r="L55">
        <f t="shared" ref="L55" si="21">H55*40/100</f>
        <v>28608</v>
      </c>
      <c r="M55" s="3">
        <f t="shared" ref="M55" si="22">K55/2</f>
        <v>16092</v>
      </c>
      <c r="R55" t="s">
        <v>23</v>
      </c>
      <c r="S55" s="3">
        <f t="shared" si="0"/>
        <v>39336</v>
      </c>
      <c r="T55">
        <v>28608</v>
      </c>
    </row>
    <row r="56" spans="1:21" ht="15.75" customHeight="1">
      <c r="A56">
        <v>25007</v>
      </c>
      <c r="B56" t="s">
        <v>178</v>
      </c>
      <c r="C56" t="s">
        <v>179</v>
      </c>
      <c r="D56" t="s">
        <v>180</v>
      </c>
      <c r="E56" s="10">
        <v>45904</v>
      </c>
      <c r="F56">
        <v>5300000</v>
      </c>
      <c r="G56">
        <v>265000</v>
      </c>
      <c r="H56">
        <v>212000</v>
      </c>
      <c r="I56" s="22" t="s">
        <v>93</v>
      </c>
      <c r="J56" s="22" t="s">
        <v>22</v>
      </c>
      <c r="K56" s="3">
        <f t="shared" ref="K56" si="23">H56*45/100</f>
        <v>95400</v>
      </c>
      <c r="L56">
        <f t="shared" ref="L56" si="24">H56*40/100</f>
        <v>84800</v>
      </c>
      <c r="M56" s="3">
        <f t="shared" ref="M56" si="25">K56/2</f>
        <v>47700</v>
      </c>
      <c r="R56" t="s">
        <v>181</v>
      </c>
      <c r="S56" s="3">
        <f t="shared" si="0"/>
        <v>116600</v>
      </c>
      <c r="U56">
        <v>95400</v>
      </c>
    </row>
    <row r="57" spans="1:21" ht="15.75" customHeight="1">
      <c r="A57">
        <v>25074</v>
      </c>
      <c r="B57" t="s">
        <v>182</v>
      </c>
      <c r="C57" t="s">
        <v>183</v>
      </c>
      <c r="D57" t="s">
        <v>184</v>
      </c>
      <c r="E57" s="10">
        <v>45908</v>
      </c>
      <c r="F57">
        <v>680000</v>
      </c>
      <c r="G57">
        <v>45000</v>
      </c>
      <c r="H57">
        <v>36000</v>
      </c>
      <c r="I57" s="26" t="s">
        <v>66</v>
      </c>
      <c r="J57" s="26" t="s">
        <v>66</v>
      </c>
      <c r="K57" s="3">
        <f t="shared" ref="K57" si="26">H57*45/100</f>
        <v>16200</v>
      </c>
      <c r="L57">
        <f t="shared" ref="L57" si="27">H57*40/100</f>
        <v>14400</v>
      </c>
      <c r="M57" s="3">
        <f t="shared" ref="M57" si="28">K57/2</f>
        <v>8100</v>
      </c>
      <c r="R57" t="s">
        <v>23</v>
      </c>
      <c r="S57" s="3">
        <f t="shared" si="0"/>
        <v>19800</v>
      </c>
      <c r="T57">
        <v>16200</v>
      </c>
    </row>
    <row r="58" spans="1:21" ht="15.75" customHeight="1">
      <c r="A58">
        <v>25035</v>
      </c>
      <c r="B58" t="s">
        <v>185</v>
      </c>
      <c r="C58" t="s">
        <v>186</v>
      </c>
      <c r="D58" t="s">
        <v>187</v>
      </c>
      <c r="E58" s="10">
        <v>45912</v>
      </c>
      <c r="F58">
        <v>1075000</v>
      </c>
      <c r="G58">
        <v>64500</v>
      </c>
      <c r="H58">
        <v>51600</v>
      </c>
      <c r="I58" s="11" t="s">
        <v>36</v>
      </c>
      <c r="J58" s="11" t="s">
        <v>36</v>
      </c>
      <c r="K58" s="3">
        <f t="shared" ref="K58" si="29">H58*45/100</f>
        <v>23220</v>
      </c>
      <c r="L58">
        <f t="shared" ref="L58" si="30">H58*40/100</f>
        <v>20640</v>
      </c>
      <c r="M58" s="3">
        <f t="shared" ref="M58" si="31">K58/2</f>
        <v>11610</v>
      </c>
      <c r="R58" t="s">
        <v>23</v>
      </c>
      <c r="S58" s="3">
        <f t="shared" si="0"/>
        <v>28380</v>
      </c>
      <c r="T58">
        <v>20640</v>
      </c>
    </row>
    <row r="59" spans="1:21" ht="15.75" customHeight="1">
      <c r="A59">
        <v>25051</v>
      </c>
      <c r="B59" t="s">
        <v>188</v>
      </c>
      <c r="C59" t="s">
        <v>189</v>
      </c>
      <c r="D59" t="s">
        <v>190</v>
      </c>
      <c r="E59" s="10">
        <v>45912</v>
      </c>
      <c r="F59">
        <v>730000</v>
      </c>
      <c r="G59">
        <v>45000</v>
      </c>
      <c r="H59">
        <v>36000</v>
      </c>
      <c r="I59" s="11" t="s">
        <v>36</v>
      </c>
      <c r="J59" s="11" t="s">
        <v>36</v>
      </c>
      <c r="K59" s="3">
        <f t="shared" ref="K59" si="32">H59*45/100</f>
        <v>16200</v>
      </c>
      <c r="L59">
        <f t="shared" ref="L59" si="33">H59*40/100</f>
        <v>14400</v>
      </c>
      <c r="M59" s="3">
        <f t="shared" ref="M59" si="34">K59/2</f>
        <v>8100</v>
      </c>
      <c r="R59" t="s">
        <v>23</v>
      </c>
      <c r="S59" s="3">
        <f t="shared" si="0"/>
        <v>19800</v>
      </c>
      <c r="T59">
        <v>14400</v>
      </c>
    </row>
    <row r="60" spans="1:21" ht="15.75" customHeight="1">
      <c r="A60">
        <v>25070</v>
      </c>
      <c r="B60" t="s">
        <v>191</v>
      </c>
      <c r="C60" t="s">
        <v>192</v>
      </c>
      <c r="D60" t="s">
        <v>193</v>
      </c>
      <c r="E60" s="10">
        <v>45917</v>
      </c>
      <c r="F60">
        <v>1200000</v>
      </c>
      <c r="G60">
        <v>72000</v>
      </c>
      <c r="H60">
        <v>57600</v>
      </c>
      <c r="I60" s="23" t="s">
        <v>86</v>
      </c>
      <c r="J60" s="23" t="s">
        <v>86</v>
      </c>
      <c r="K60" s="3">
        <f t="shared" ref="K60" si="35">H60*45/100</f>
        <v>25920</v>
      </c>
      <c r="L60">
        <f t="shared" ref="L60" si="36">H60*40/100</f>
        <v>23040</v>
      </c>
      <c r="M60" s="3">
        <f t="shared" ref="M60" si="37">K60/2</f>
        <v>12960</v>
      </c>
      <c r="R60" t="s">
        <v>23</v>
      </c>
      <c r="S60" s="3">
        <f t="shared" si="0"/>
        <v>31680</v>
      </c>
      <c r="T60">
        <v>23040</v>
      </c>
    </row>
    <row r="61" spans="1:21" ht="15.75" customHeight="1">
      <c r="A61">
        <v>25073</v>
      </c>
      <c r="B61" t="s">
        <v>194</v>
      </c>
      <c r="C61" t="s">
        <v>195</v>
      </c>
      <c r="D61" t="s">
        <v>196</v>
      </c>
      <c r="E61" s="10">
        <v>45917</v>
      </c>
      <c r="F61">
        <v>1375000</v>
      </c>
      <c r="G61">
        <v>82500</v>
      </c>
      <c r="H61">
        <v>66000</v>
      </c>
      <c r="I61" s="22" t="s">
        <v>93</v>
      </c>
      <c r="J61" s="11" t="s">
        <v>36</v>
      </c>
      <c r="K61" s="3">
        <f t="shared" ref="K61" si="38">H61*45/100</f>
        <v>29700</v>
      </c>
      <c r="L61">
        <f t="shared" ref="L61" si="39">H61*40/100</f>
        <v>26400</v>
      </c>
      <c r="M61" s="3">
        <f t="shared" ref="M61" si="40">K61/2</f>
        <v>14850</v>
      </c>
      <c r="R61" t="s">
        <v>23</v>
      </c>
      <c r="S61" s="3">
        <f t="shared" si="0"/>
        <v>36300</v>
      </c>
      <c r="T61">
        <v>13200</v>
      </c>
      <c r="U61">
        <v>14850</v>
      </c>
    </row>
    <row r="62" spans="1:21" ht="15.75" customHeight="1">
      <c r="A62">
        <v>25068</v>
      </c>
      <c r="B62" t="s">
        <v>197</v>
      </c>
      <c r="C62" t="s">
        <v>198</v>
      </c>
      <c r="D62" t="s">
        <v>199</v>
      </c>
      <c r="E62" s="10">
        <v>45922</v>
      </c>
      <c r="F62">
        <v>1100000</v>
      </c>
      <c r="G62">
        <v>66000</v>
      </c>
      <c r="H62">
        <v>52800</v>
      </c>
      <c r="I62" s="11" t="s">
        <v>36</v>
      </c>
      <c r="J62" s="11" t="s">
        <v>36</v>
      </c>
      <c r="K62" s="3">
        <f t="shared" ref="K62" si="41">H62*45/100</f>
        <v>23760</v>
      </c>
      <c r="L62">
        <f t="shared" ref="L62" si="42">H62*40/100</f>
        <v>21120</v>
      </c>
      <c r="M62" s="3">
        <f t="shared" ref="M62" si="43">K62/2</f>
        <v>11880</v>
      </c>
      <c r="R62" t="s">
        <v>23</v>
      </c>
      <c r="S62" s="3">
        <f t="shared" si="0"/>
        <v>29040</v>
      </c>
      <c r="T62">
        <v>21120</v>
      </c>
    </row>
    <row r="63" spans="1:21" ht="15.75" customHeight="1">
      <c r="A63">
        <v>25066</v>
      </c>
      <c r="B63" t="s">
        <v>67</v>
      </c>
      <c r="C63" t="s">
        <v>200</v>
      </c>
      <c r="D63" t="s">
        <v>201</v>
      </c>
      <c r="E63" s="10">
        <v>45930</v>
      </c>
      <c r="F63">
        <v>610000</v>
      </c>
      <c r="G63">
        <v>45000</v>
      </c>
      <c r="H63">
        <v>36000</v>
      </c>
      <c r="I63" s="26" t="s">
        <v>66</v>
      </c>
      <c r="J63" s="26" t="s">
        <v>66</v>
      </c>
      <c r="K63" s="3">
        <f t="shared" ref="K63" si="44">H63*45/100</f>
        <v>16200</v>
      </c>
      <c r="L63">
        <f t="shared" ref="L63" si="45">H63*40/100</f>
        <v>14400</v>
      </c>
      <c r="M63" s="3">
        <f t="shared" ref="M63" si="46">K63/2</f>
        <v>8100</v>
      </c>
      <c r="R63" t="s">
        <v>23</v>
      </c>
      <c r="S63" s="3">
        <f t="shared" si="0"/>
        <v>19800</v>
      </c>
      <c r="T63">
        <v>16200</v>
      </c>
    </row>
    <row r="64" spans="1:21" ht="15.75" customHeight="1">
      <c r="A64">
        <v>25084</v>
      </c>
      <c r="B64" t="s">
        <v>50</v>
      </c>
      <c r="C64" t="s">
        <v>202</v>
      </c>
      <c r="D64" t="s">
        <v>203</v>
      </c>
      <c r="E64" s="10">
        <v>45940</v>
      </c>
      <c r="F64">
        <v>1155000</v>
      </c>
      <c r="G64">
        <v>69300</v>
      </c>
      <c r="H64">
        <v>55440</v>
      </c>
      <c r="I64" s="11" t="s">
        <v>36</v>
      </c>
      <c r="J64" s="11" t="s">
        <v>36</v>
      </c>
      <c r="K64" s="3">
        <f t="shared" ref="K64" si="47">H64*45/100</f>
        <v>24948</v>
      </c>
      <c r="L64">
        <f t="shared" ref="L64" si="48">H64*40/100</f>
        <v>22176</v>
      </c>
      <c r="M64" s="3">
        <f t="shared" ref="M64" si="49">K64/2</f>
        <v>12474</v>
      </c>
      <c r="R64" t="s">
        <v>23</v>
      </c>
      <c r="S64" s="3">
        <f t="shared" ref="S64" si="50">H64*55/100</f>
        <v>30492</v>
      </c>
      <c r="T64">
        <v>22176</v>
      </c>
    </row>
    <row r="65" spans="1:21" ht="15.75" customHeight="1">
      <c r="A65">
        <v>25033</v>
      </c>
      <c r="B65" t="s">
        <v>204</v>
      </c>
      <c r="C65" t="s">
        <v>205</v>
      </c>
      <c r="D65" t="s">
        <v>206</v>
      </c>
      <c r="E65" s="10">
        <v>45950</v>
      </c>
      <c r="F65">
        <v>950000</v>
      </c>
      <c r="G65">
        <v>57000</v>
      </c>
      <c r="H65">
        <v>45600</v>
      </c>
      <c r="I65" s="23" t="s">
        <v>86</v>
      </c>
      <c r="J65" s="23" t="s">
        <v>86</v>
      </c>
      <c r="K65" s="3">
        <f t="shared" ref="K65" si="51">H65*45/100</f>
        <v>20520</v>
      </c>
      <c r="L65">
        <f t="shared" ref="L65" si="52">H65*40/100</f>
        <v>18240</v>
      </c>
      <c r="M65" s="3">
        <f t="shared" ref="M65" si="53">K65/2</f>
        <v>10260</v>
      </c>
      <c r="R65" t="s">
        <v>23</v>
      </c>
      <c r="S65" s="3">
        <f t="shared" ref="S65" si="54">H65*55/100</f>
        <v>25080</v>
      </c>
      <c r="T65">
        <v>18240</v>
      </c>
    </row>
    <row r="66" spans="1:21" ht="15.75" customHeight="1">
      <c r="A66">
        <v>25087</v>
      </c>
      <c r="B66" t="s">
        <v>67</v>
      </c>
      <c r="C66" t="s">
        <v>207</v>
      </c>
      <c r="D66" t="s">
        <v>208</v>
      </c>
      <c r="E66" s="10">
        <v>45950</v>
      </c>
      <c r="F66">
        <v>640000</v>
      </c>
      <c r="G66">
        <v>45000</v>
      </c>
      <c r="H66">
        <v>36000</v>
      </c>
      <c r="I66" s="26" t="s">
        <v>66</v>
      </c>
      <c r="J66" s="26" t="s">
        <v>66</v>
      </c>
      <c r="K66" s="3">
        <f t="shared" ref="K66" si="55">H66*45/100</f>
        <v>16200</v>
      </c>
      <c r="L66">
        <f t="shared" ref="L66" si="56">H66*40/100</f>
        <v>14400</v>
      </c>
      <c r="M66" s="3">
        <f t="shared" ref="M66" si="57">K66/2</f>
        <v>8100</v>
      </c>
      <c r="R66" t="s">
        <v>23</v>
      </c>
      <c r="S66" s="3">
        <f t="shared" ref="S66:S76" si="58">H66*55/100</f>
        <v>19800</v>
      </c>
      <c r="T66">
        <v>16200</v>
      </c>
    </row>
    <row r="67" spans="1:21" ht="15.75" customHeight="1">
      <c r="A67">
        <v>25071</v>
      </c>
      <c r="B67" t="s">
        <v>151</v>
      </c>
      <c r="C67" t="s">
        <v>209</v>
      </c>
      <c r="D67" t="s">
        <v>210</v>
      </c>
      <c r="E67" s="10">
        <v>45953</v>
      </c>
      <c r="F67">
        <v>752000</v>
      </c>
      <c r="G67">
        <v>22000</v>
      </c>
      <c r="H67">
        <v>17600</v>
      </c>
      <c r="I67" s="11" t="s">
        <v>36</v>
      </c>
      <c r="J67" s="11" t="s">
        <v>36</v>
      </c>
      <c r="K67" s="3">
        <f t="shared" ref="K67" si="59">H67*45/100</f>
        <v>7920</v>
      </c>
      <c r="L67">
        <f t="shared" ref="L67" si="60">H67*40/100</f>
        <v>7040</v>
      </c>
      <c r="M67" s="3">
        <f t="shared" ref="M67" si="61">K67/2</f>
        <v>3960</v>
      </c>
      <c r="R67" t="s">
        <v>23</v>
      </c>
      <c r="S67" s="3">
        <f t="shared" si="58"/>
        <v>9680</v>
      </c>
    </row>
    <row r="68" spans="1:21" ht="15.75" customHeight="1">
      <c r="A68">
        <v>25057</v>
      </c>
      <c r="B68" t="s">
        <v>211</v>
      </c>
      <c r="C68" t="s">
        <v>212</v>
      </c>
      <c r="D68" t="s">
        <v>213</v>
      </c>
      <c r="E68" s="10">
        <v>45959</v>
      </c>
      <c r="F68">
        <v>1020000</v>
      </c>
      <c r="G68">
        <v>61200</v>
      </c>
      <c r="H68">
        <v>48960</v>
      </c>
      <c r="I68" s="11" t="s">
        <v>36</v>
      </c>
      <c r="J68" s="11" t="s">
        <v>36</v>
      </c>
      <c r="K68" s="3">
        <f t="shared" ref="K68" si="62">H68*45/100</f>
        <v>22032</v>
      </c>
      <c r="L68">
        <f t="shared" ref="L68" si="63">H68*40/100</f>
        <v>19584</v>
      </c>
      <c r="M68" s="3">
        <f t="shared" ref="M68" si="64">K68/2</f>
        <v>11016</v>
      </c>
      <c r="R68" t="s">
        <v>23</v>
      </c>
      <c r="S68" s="3">
        <f t="shared" si="58"/>
        <v>26928</v>
      </c>
      <c r="T68">
        <v>19584</v>
      </c>
    </row>
    <row r="69" spans="1:21" ht="15.75" customHeight="1">
      <c r="A69">
        <v>25090</v>
      </c>
      <c r="B69" t="s">
        <v>50</v>
      </c>
      <c r="C69" t="s">
        <v>214</v>
      </c>
      <c r="D69" t="s">
        <v>215</v>
      </c>
      <c r="E69" s="10">
        <v>45959</v>
      </c>
      <c r="F69">
        <v>1228333</v>
      </c>
      <c r="G69">
        <v>66367</v>
      </c>
      <c r="H69">
        <v>53093</v>
      </c>
      <c r="I69" s="22" t="s">
        <v>93</v>
      </c>
      <c r="J69" s="22" t="s">
        <v>22</v>
      </c>
      <c r="K69" s="3">
        <f t="shared" ref="K69" si="65">H69*45/100</f>
        <v>23891.85</v>
      </c>
      <c r="L69">
        <f t="shared" ref="L69" si="66">H69*40/100</f>
        <v>21237.200000000001</v>
      </c>
      <c r="M69" s="3">
        <f t="shared" ref="M69" si="67">K69/2</f>
        <v>11945.924999999999</v>
      </c>
      <c r="R69" t="s">
        <v>23</v>
      </c>
      <c r="S69" s="3">
        <f t="shared" si="58"/>
        <v>29201.15</v>
      </c>
      <c r="U69">
        <v>23891</v>
      </c>
    </row>
    <row r="70" spans="1:21" ht="15.75" customHeight="1">
      <c r="A70">
        <v>25091</v>
      </c>
      <c r="B70" t="s">
        <v>216</v>
      </c>
      <c r="C70" t="s">
        <v>217</v>
      </c>
      <c r="D70" t="s">
        <v>218</v>
      </c>
      <c r="E70" s="10">
        <v>45978</v>
      </c>
      <c r="F70">
        <v>900000</v>
      </c>
      <c r="G70">
        <v>54000</v>
      </c>
      <c r="H70">
        <f>G70/1.25</f>
        <v>43200</v>
      </c>
      <c r="I70" s="11" t="s">
        <v>36</v>
      </c>
      <c r="J70" s="11" t="s">
        <v>36</v>
      </c>
      <c r="K70" s="3">
        <f t="shared" ref="K70" si="68">H70*45/100</f>
        <v>19440</v>
      </c>
      <c r="L70">
        <f t="shared" ref="L70" si="69">H70*40/100</f>
        <v>17280</v>
      </c>
      <c r="M70" s="3">
        <f t="shared" ref="M70" si="70">K70/2</f>
        <v>9720</v>
      </c>
      <c r="R70" t="s">
        <v>23</v>
      </c>
      <c r="S70" s="3">
        <f t="shared" si="58"/>
        <v>23760</v>
      </c>
    </row>
    <row r="71" spans="1:21" ht="15.75" customHeight="1">
      <c r="A71">
        <v>25053</v>
      </c>
      <c r="B71" t="s">
        <v>219</v>
      </c>
      <c r="C71" t="s">
        <v>220</v>
      </c>
      <c r="D71" t="s">
        <v>221</v>
      </c>
      <c r="E71" s="10">
        <v>45982</v>
      </c>
      <c r="F71">
        <v>2600000</v>
      </c>
      <c r="G71">
        <v>156000</v>
      </c>
      <c r="H71">
        <v>156000</v>
      </c>
      <c r="I71" s="22" t="s">
        <v>93</v>
      </c>
      <c r="J71" s="11" t="s">
        <v>36</v>
      </c>
      <c r="K71" s="3">
        <f t="shared" ref="K71" si="71">H71*45/100</f>
        <v>70200</v>
      </c>
      <c r="L71">
        <f t="shared" ref="L71" si="72">H71*40/100</f>
        <v>62400</v>
      </c>
      <c r="M71" s="3">
        <f t="shared" ref="M71" si="73">K71/2</f>
        <v>35100</v>
      </c>
      <c r="R71" t="s">
        <v>23</v>
      </c>
      <c r="S71" s="3">
        <f t="shared" si="58"/>
        <v>85800</v>
      </c>
      <c r="T71">
        <v>31200</v>
      </c>
      <c r="U71">
        <v>35100</v>
      </c>
    </row>
    <row r="72" spans="1:21" ht="15.75" customHeight="1">
      <c r="A72">
        <v>25076</v>
      </c>
      <c r="B72" t="s">
        <v>222</v>
      </c>
      <c r="C72" t="s">
        <v>223</v>
      </c>
      <c r="D72" t="s">
        <v>224</v>
      </c>
      <c r="E72" s="10">
        <v>45987</v>
      </c>
      <c r="F72">
        <v>1250000</v>
      </c>
      <c r="G72">
        <f>F72*6/100</f>
        <v>75000</v>
      </c>
      <c r="H72">
        <f>G72/1.25</f>
        <v>60000</v>
      </c>
      <c r="I72" s="11" t="s">
        <v>36</v>
      </c>
      <c r="J72" s="11" t="s">
        <v>36</v>
      </c>
      <c r="K72" s="3">
        <f t="shared" ref="K72" si="74">H72*45/100</f>
        <v>27000</v>
      </c>
      <c r="L72">
        <f t="shared" ref="L72" si="75">H72*40/100</f>
        <v>24000</v>
      </c>
      <c r="M72" s="3">
        <f t="shared" ref="M72" si="76">K72/2</f>
        <v>13500</v>
      </c>
      <c r="R72" t="s">
        <v>23</v>
      </c>
      <c r="S72" s="3">
        <f t="shared" si="58"/>
        <v>33000</v>
      </c>
      <c r="T72">
        <v>24000</v>
      </c>
    </row>
    <row r="73" spans="1:21" ht="15.75" customHeight="1">
      <c r="A73">
        <v>25092</v>
      </c>
      <c r="B73" t="s">
        <v>225</v>
      </c>
      <c r="C73" t="s">
        <v>226</v>
      </c>
      <c r="D73" t="s">
        <v>227</v>
      </c>
      <c r="E73" s="10">
        <v>45988</v>
      </c>
      <c r="F73">
        <v>1700000</v>
      </c>
      <c r="G73">
        <v>102000</v>
      </c>
      <c r="H73">
        <v>81600</v>
      </c>
      <c r="I73" s="11" t="s">
        <v>36</v>
      </c>
      <c r="J73" s="11" t="s">
        <v>36</v>
      </c>
      <c r="K73" s="3">
        <f t="shared" ref="K73" si="77">H73*45/100</f>
        <v>36720</v>
      </c>
      <c r="L73">
        <f t="shared" ref="L73" si="78">H73*40/100</f>
        <v>32640</v>
      </c>
      <c r="M73" s="3">
        <f t="shared" ref="M73" si="79">K73/2</f>
        <v>18360</v>
      </c>
      <c r="R73" t="s">
        <v>181</v>
      </c>
      <c r="S73" s="3">
        <f t="shared" si="58"/>
        <v>44880</v>
      </c>
      <c r="T73">
        <v>32640</v>
      </c>
    </row>
    <row r="74" spans="1:21" ht="15.75" customHeight="1">
      <c r="A74">
        <v>25001</v>
      </c>
      <c r="B74" t="s">
        <v>228</v>
      </c>
      <c r="C74" t="s">
        <v>229</v>
      </c>
      <c r="D74" t="s">
        <v>230</v>
      </c>
      <c r="E74" s="10">
        <v>45994</v>
      </c>
      <c r="F74">
        <v>2400000</v>
      </c>
      <c r="G74">
        <v>144000</v>
      </c>
      <c r="H74">
        <f>G74/1.25</f>
        <v>115200</v>
      </c>
      <c r="I74" s="29" t="s">
        <v>66</v>
      </c>
      <c r="J74" s="11" t="s">
        <v>36</v>
      </c>
      <c r="K74" s="3">
        <f t="shared" ref="K74" si="80">H74*45/100</f>
        <v>51840</v>
      </c>
      <c r="L74">
        <f t="shared" ref="L74" si="81">H74*40/100</f>
        <v>46080</v>
      </c>
      <c r="M74" s="3">
        <f t="shared" ref="M74" si="82">K74/2</f>
        <v>25920</v>
      </c>
      <c r="R74" t="s">
        <v>23</v>
      </c>
      <c r="S74" s="3">
        <f t="shared" si="58"/>
        <v>63360</v>
      </c>
      <c r="T74">
        <v>46080</v>
      </c>
    </row>
    <row r="75" spans="1:21" ht="15.75" customHeight="1">
      <c r="A75">
        <v>25086</v>
      </c>
      <c r="B75" t="s">
        <v>231</v>
      </c>
      <c r="C75" t="s">
        <v>232</v>
      </c>
      <c r="D75" t="s">
        <v>233</v>
      </c>
      <c r="E75" s="10">
        <v>46000</v>
      </c>
      <c r="F75">
        <v>1750000</v>
      </c>
      <c r="G75">
        <f>F75*6/100</f>
        <v>105000</v>
      </c>
      <c r="H75">
        <f>G75/1.25</f>
        <v>84000</v>
      </c>
      <c r="I75" s="23" t="s">
        <v>86</v>
      </c>
      <c r="J75" s="23" t="s">
        <v>86</v>
      </c>
      <c r="K75" s="3">
        <f t="shared" ref="K75" si="83">H75*45/100</f>
        <v>37800</v>
      </c>
      <c r="L75">
        <f t="shared" ref="L75" si="84">H75*40/100</f>
        <v>33600</v>
      </c>
      <c r="M75" s="3">
        <f t="shared" ref="M75" si="85">K75/2</f>
        <v>18900</v>
      </c>
      <c r="R75" t="s">
        <v>23</v>
      </c>
      <c r="S75" s="3">
        <f t="shared" si="58"/>
        <v>46200</v>
      </c>
    </row>
    <row r="76" spans="1:21" ht="15.75" customHeight="1">
      <c r="A76">
        <v>25077</v>
      </c>
      <c r="B76" t="s">
        <v>234</v>
      </c>
      <c r="C76" t="s">
        <v>177</v>
      </c>
      <c r="D76" t="s">
        <v>235</v>
      </c>
      <c r="E76" s="10">
        <v>46008</v>
      </c>
      <c r="F76">
        <v>800000</v>
      </c>
      <c r="G76">
        <v>48000</v>
      </c>
      <c r="H76">
        <v>38400</v>
      </c>
      <c r="I76" s="20" t="s">
        <v>86</v>
      </c>
      <c r="J76" s="20" t="s">
        <v>86</v>
      </c>
      <c r="K76" s="3">
        <f t="shared" ref="K76" si="86">H76*45/100</f>
        <v>17280</v>
      </c>
      <c r="L76">
        <f t="shared" ref="L76" si="87">H76*40/100</f>
        <v>15360</v>
      </c>
      <c r="M76" s="3">
        <f t="shared" ref="M76" si="88">K76/2</f>
        <v>8640</v>
      </c>
      <c r="R76" t="s">
        <v>23</v>
      </c>
      <c r="S76" s="3">
        <f t="shared" si="58"/>
        <v>21120</v>
      </c>
      <c r="T76">
        <v>15360</v>
      </c>
    </row>
    <row r="77" spans="1:21" ht="15.75" customHeight="1"/>
    <row r="78" spans="1:21" ht="15.75" customHeight="1"/>
    <row r="79" spans="1:21" ht="15.75" customHeight="1"/>
    <row r="80" spans="1:21" ht="15.75" customHeight="1">
      <c r="A80" s="3" t="s">
        <v>236</v>
      </c>
      <c r="F80" s="3">
        <f>SUM(F2:F76)</f>
        <v>102214333</v>
      </c>
      <c r="G80" s="3">
        <f>SUM(G2:G76)</f>
        <v>5964074</v>
      </c>
      <c r="H80" s="3">
        <f>SUM(H2:H76)</f>
        <v>4857517</v>
      </c>
      <c r="K80" s="3">
        <f>SUM(K2:K76)</f>
        <v>2185882.6500000004</v>
      </c>
      <c r="M80" s="3">
        <f>SUM(M2:M76)</f>
        <v>1092941.3250000002</v>
      </c>
      <c r="S80" s="3">
        <f>SUM(S2:S76)</f>
        <v>2671634.35</v>
      </c>
    </row>
    <row r="81" spans="8:22" ht="15.75" customHeight="1"/>
    <row r="82" spans="8:22" ht="15.75" customHeight="1">
      <c r="H82" s="3">
        <f>H2+H3+H4+H6+H7+H8+H9+H10+H11+H14+H20+H21/2+H24/2+H25/2+H26+H27+H28+H29/2+H31/2+H32/2+H33/2+H34/2+H36+H38/2+H41/2+H42/2+H45/2+H50+H54+H56+H61/2+H69+H71/2</f>
        <v>2083205</v>
      </c>
      <c r="I82" s="5" t="s">
        <v>22</v>
      </c>
      <c r="K82" s="3">
        <f>K2+K3+K4+K6+K7+K8+K9+K10+K11+K14+K20+K21/2+K24/2+K25/2+K26+K27+K28+K29/2+K31/2+K32/2+K33/2+K34/2+K36+K38/2+K41/2+K42/2+K45/2+K50+K54+K56+K61/2+K69+K71/2</f>
        <v>937442.25</v>
      </c>
      <c r="T82">
        <f>U2+U3+U4+U6+U7+U8+U9+U10+U11+U14+U20+U26+U27+U28+U29+U31+U32+U33+U34+U36+U38+U41+U42+U45+U50+U54</f>
        <v>740048</v>
      </c>
      <c r="V82" s="3">
        <f>K82-T82</f>
        <v>197394.25</v>
      </c>
    </row>
    <row r="83" spans="8:22" ht="15.75" customHeight="1">
      <c r="I83" s="3"/>
      <c r="K83" s="3"/>
    </row>
    <row r="84" spans="8:22" ht="15.75" customHeight="1">
      <c r="H84" s="3">
        <f>H15+H16+H17+H32/2+H44+H53+H57+H63</f>
        <v>606800</v>
      </c>
      <c r="I84" s="6" t="s">
        <v>66</v>
      </c>
      <c r="K84" s="3">
        <f>K15+K16+K17+K32/2+K44+K53+K57+K63+K66</f>
        <v>289260</v>
      </c>
      <c r="R84" s="3" t="s">
        <v>237</v>
      </c>
      <c r="T84" s="3">
        <f>T15+T16+T17+T32/2+T44+T53+T57+T63+T66</f>
        <v>264060</v>
      </c>
      <c r="V84" s="3">
        <f>K84-T84-Q84</f>
        <v>25200</v>
      </c>
    </row>
    <row r="85" spans="8:22" ht="15.75" customHeight="1"/>
    <row r="86" spans="8:22" ht="15.75" customHeight="1">
      <c r="H86">
        <f>H5+H12+H13+H18+H19+H21/2+H23+H25/2+H30+H31/2+H33/2+H34/2+H35+H37+H38/2+H41/2+H42/2+H43+H39+H45/2+H46+H47+H51+H58+H59+H61/2+H62+H64+H67+H68+H70+H71/2+H72+H73+H74</f>
        <v>1599192</v>
      </c>
      <c r="I86" s="11" t="s">
        <v>36</v>
      </c>
      <c r="K86">
        <f>K5+K12+K13+K18+K19+M21+K23+K30+M25+M31+M33+M34+K35+K37+M38+M41+M42+K43+K39+M45+M46+K47+K51+K58+K59+M61+K62+K64+K67+K68+K70+M71+K72+K74</f>
        <v>674816.4</v>
      </c>
      <c r="L86">
        <f>L5+L12+L13+L18+L19+M21+L23+M25+L30+M31+M33+M34+L35+L37+M38+M41+M42+L43+L39+M45+M46+M47+M51+L58+L59+M61+L62+L64+L67+L68+L70+M71+L72+L74</f>
        <v>606322.80000000005</v>
      </c>
      <c r="T86">
        <f>T12+T13+T18+T19+T21+T23+T25+T30+T31+T35+T37+T39+T43+T46+T47+T51+T58+T59+T62+T64+T68+T33+T34+T38+T41+T42+T45+T61</f>
        <v>468364</v>
      </c>
      <c r="V86">
        <f>L86-T86</f>
        <v>137958.80000000005</v>
      </c>
    </row>
    <row r="87" spans="8:22" ht="15.75" customHeight="1"/>
    <row r="88" spans="8:22" ht="15.75" customHeight="1">
      <c r="H88">
        <f>H24/2+H22+H29/2+H40+H48+H49+H55+H60+H65+H52+H75+H76</f>
        <v>532320</v>
      </c>
      <c r="I88" s="20" t="s">
        <v>86</v>
      </c>
      <c r="K88">
        <f>K22+K24/2+K29/2+K40+K48+K49+K52+K55+K60+K65+K75+K76</f>
        <v>239544</v>
      </c>
      <c r="L88">
        <f>L22+L24/2+L29/2+L40+L48+L49+L52+L55+L60+L65+L75+L76</f>
        <v>212928</v>
      </c>
      <c r="T88">
        <f>T22+T24+T29+T40+T48+T49+T52+T55+T60+T65</f>
        <v>163968</v>
      </c>
      <c r="V88">
        <f>L88-T88</f>
        <v>48960</v>
      </c>
    </row>
    <row r="89" spans="8:22" ht="15.75" customHeight="1"/>
    <row r="90" spans="8:22" ht="15.75" customHeight="1"/>
    <row r="91" spans="8:22" ht="15.75" customHeight="1"/>
    <row r="92" spans="8:22" ht="15.75" customHeight="1"/>
    <row r="93" spans="8:22" ht="15.75" customHeight="1">
      <c r="H93">
        <v>312220</v>
      </c>
    </row>
    <row r="94" spans="8:22" ht="15.75" customHeight="1"/>
    <row r="95" spans="8:22" ht="15.75" customHeight="1"/>
    <row r="96" spans="8:2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Sindre Jacobsen</cp:lastModifiedBy>
  <cp:revision/>
  <dcterms:created xsi:type="dcterms:W3CDTF">2017-03-08T13:45:59Z</dcterms:created>
  <dcterms:modified xsi:type="dcterms:W3CDTF">2026-07-11T11:08:40Z</dcterms:modified>
  <cp:category/>
  <cp:contentStatus/>
</cp:coreProperties>
</file>
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s meg" sheetId="1" state="visible" r:id="rId3"/>
    <sheet name="Forutsetninger" sheetId="2" state="visible" r:id="rId4"/>
    <sheet name="Per megler-mål" sheetId="3" state="visible" r:id="rId5"/>
    <sheet name="Break-even &amp; scenarier" sheetId="4" state="visible" r:id="rId6"/>
    <sheet name="Klassifisering 2025-2026" sheetId="5" state="visible" r:id="rId7"/>
    <sheet name="Utestående salgskostnad" sheetId="6" state="visible" r:id="rId8"/>
    <sheet name="Henrik + Marte" sheetId="7" state="visible" r:id="rId9"/>
    <sheet name="Lønnsomhet per megler" sheetId="8" state="visible" r:id="rId10"/>
    <sheet name="Kostnadsbudsjett 2026" sheetId="9" state="visible" r:id="rId11"/>
    <sheet name="Trakt per megler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<sst xmlns="http://schemas.openxmlformats.org/spreadsheetml/2006/main" count="925" uniqueCount="707">
  <si>
    <t xml:space="preserve">House of Yachts AS — Nedenfra-og-opp kostnads- og break-even-modell 2026</t>
  </si>
  <si>
    <t xml:space="preserve">Bygget juni 2026 fra Hovedbok 2025, Hovedbok + resultatregnskap 1. jan–16. jun 2026. Beslutningsstøtte – ikke skatte-/regnskapsrådgivning (bekreft med Marius Wågelsby, RVT Regnskap).</t>
  </si>
  <si>
    <t xml:space="preserve">SLIK BRUKER DU MODELLEN</t>
  </si>
  <si>
    <t xml:space="preserve">1. Alt du kan endre står i BLÅ skrift på arket «Forutsetninger». Endre der – alle andre ark regner seg om automatisk.</t>
  </si>
  <si>
    <t xml:space="preserve">2. «Per megler-mål»: skriv inn omsetning ex mva per megler, og se resultat før skatt live.</t>
  </si>
  <si>
    <t xml:space="preserve">3. «Break-even &amp; scenarier»: viser hvor mye total omsetning som trengs for break-even og for 0,5 / 1,0 / 1,5 MNOK overskudd.</t>
  </si>
  <si>
    <t xml:space="preserve">4. «Klassifisering 2025↔2026»: hver kostnadslinje merket Fast / Variabel / Engangs, med begge år.</t>
  </si>
  <si>
    <t xml:space="preserve">DE VIKTIGSTE FUNNENE</t>
  </si>
  <si>
    <t xml:space="preserve">• Kostnadene har TO variable drivere, ikke én flat margin: (1) meglerlønn (~55 % av omsetning) utløses av SALG, (2) markedskost (foto/reise/annonse, ~6 600 per oppdrag) utløses av NYE OPPDRAG INN — uavhengig av om båten selges. Faste kostnader ~2,34 MNOK dekkes av det som er igjen (~34 øre per krone).</t>
  </si>
  <si>
    <t xml:space="preserve">• Avskrivnings-tvetydigheten er løst: Konto 6010 har en MANUELL post på 164 900 (31.12.25) i hovedboka som draft-resultatregnskapet ikke tok med. Hovedbok = 228 123, regnskapsutkast = 103 038. Differanse 125 085. Base case = 228 123 (ditt valg). Avskrivning er ikke-kontant – cash break-even vises også.</t>
  </si>
  <si>
    <t xml:space="preserve">• Reelt 2025-resultat var nærmere NULL enn 1,2 MNOK. Det rapporterte overskuddet (1 220 371) ble løftet av engangsposter som ikke gjentar seg: ~200k engangs «rydding» (konto 3900), 412k Serotonic-gjennomstrømming, periodiseringer (3090 svinger ±0,5M), 206k lumpy inventar/kamera-kjøp (6540), og lav avskrivning (103k). På normalisert, løpende basis lå selskapet omtrent på break-even ved 4,86 MNOK omsetning – UTEN Marte.</t>
  </si>
  <si>
    <t xml:space="preserve">• Marte endrer regnestykket vesentlig. 450k fast + arb.giver (~575k helår) + bonus 10 % av Henriks provisjon (= 4 % av Henriks omsetning). Hun har ingen egen omsetning → ren fast kostnad som løfter break-even.</t>
  </si>
  <si>
    <t xml:space="preserve">• KONSEKVENS: kostbasen å dekke = faste kostnader + markedskost på inntak (~3,0 MNOK ved 100 oppdrag inn). Meglerlønn er IKKE i kostbasen — den utløses ved salg og er selvfinansiert. Firmaet beholder ~44 øre per solgt krone → break-even ≈ 6,85 MNOK omsetning (~106 solgte). Sindres lønnsuttak er største spak (halv lønn → ~5,3 MNOK).</t>
  </si>
  <si>
    <t xml:space="preserve">2026 vs 2025 – hva har endret seg (annualisert)</t>
  </si>
  <si>
    <t xml:space="preserve">• OPP: leie lokale (+115k), renhold (+45k), leie inventar (+77k), salgskostnad/foto. Variabel kostnadsrate løp varmere i 2026 (~17–21 % mot 15 %).</t>
  </si>
  <si>
    <t xml:space="preserve">• NED: datasystemer utland 6421 (−80k), leie maskiner 6400 (−70k, flyttet til 6410), møte/kurs 6860 (−81k, timing), telefon 6900 (−37k).</t>
  </si>
  <si>
    <t xml:space="preserve">• NYE ENGANGS i 2026: kick-off 34 600 (5990), profilbekledning 16 678 (6570). MERK: 76 700 Norheim foto er feilført på 6550 Driftsmateriale – er egentlig variabel fotokostnad.</t>
  </si>
  <si>
    <t xml:space="preserve">VIKTIGSTE USIKKERHET Å AVKLARE</t>
  </si>
  <si>
    <t xml:space="preserve">Modellen drives av «omsetning ex mva (meglerkreditert)» = tallet du setter mål i. Bokført provisjonsinntekt svinger mot dette pga. periodisering (3090): 2025 bokført &gt; kreditert, 2026 bokført &lt; kreditert. Over tid utligner det seg, så meglerkreditert omsetning er riktig stabil driver. Bekreft med Marius at det ikke finnes varig «hus-margin» utover meglerkreditten (handoff sier nei).</t>
  </si>
  <si>
    <t xml:space="preserve">FORUTSETNINGER  —  endre kun BLÅ celler</t>
  </si>
  <si>
    <t xml:space="preserve">PROVISJONSMODELL (meglerlønn)</t>
  </si>
  <si>
    <t xml:space="preserve">Provisjonssats Sindre (% av egen omsetning ex mva)</t>
  </si>
  <si>
    <t xml:space="preserve">Lead megler</t>
  </si>
  <si>
    <t xml:space="preserve">Provisjonssats Henrik</t>
  </si>
  <si>
    <t xml:space="preserve">Provisjonssats Daniel</t>
  </si>
  <si>
    <t xml:space="preserve">Provisjonssats ny/øvrig megler</t>
  </si>
  <si>
    <t xml:space="preserve">Arbeidsgiver-loading på provisjon (×)</t>
  </si>
  <si>
    <t xml:space="preserve">Feriepenger 10,2% + AGA 14,1% + OTP + yrkesskade. Kalibrert mot faktisk 2025 (1,296×). OTP 2,5%→7% løfter til ~1,33×.</t>
  </si>
  <si>
    <t xml:space="preserve">VARIABLE KOSTNADER — to drivere</t>
  </si>
  <si>
    <t xml:space="preserve">Markedskost per NYTT oppdrag inn (kr)</t>
  </si>
  <si>
    <t xml:space="preserve">Foto/klargjøring + reise + annonse + bilgodt. DRIVES AV OPPDRAG INN, ikke salg. 2025: 6 578/oppdrag, 2026: 6 746 — svært stabilt.</t>
  </si>
  <si>
    <t xml:space="preserve">Tap på fordringer — % av omsetning (salg)</t>
  </si>
  <si>
    <t xml:space="preserve">Drives av salg. 2025: 1,21%.</t>
  </si>
  <si>
    <t xml:space="preserve">FASTE KOSTNADER (årlige)</t>
  </si>
  <si>
    <t xml:space="preserve">Fast overhead (eks. avskrivning og engangs)</t>
  </si>
  <si>
    <t xml:space="preserve">2025 faktisk løpende fast = 1 285 131. Husleie/renhold opp i 2026.</t>
  </si>
  <si>
    <t xml:space="preserve">Normalisert utstyr/inventar-avsetning</t>
  </si>
  <si>
    <t xml:space="preserve">Erstatter lumpy 6540 (206k i 2025). Realistisk årlig kamera/kontor-nivå.</t>
  </si>
  <si>
    <t xml:space="preserve">Avskrivning (base = hovedbok)</t>
  </si>
  <si>
    <t xml:space="preserve">HOVEDBOK 228 123 (m/manuell 164 900). Alt: regnskapsutkast 103 038. Ikke-kontant.</t>
  </si>
  <si>
    <t xml:space="preserve">Netto finans (negativ = nettoinntekt)</t>
  </si>
  <si>
    <t xml:space="preserve">2025: renteinntekt 68k − rentekostnad/billån 47k = +21k netto inntekt.</t>
  </si>
  <si>
    <t xml:space="preserve">Philip + øvrig fastlønn (13k/mnd, inkl. arb.giver)</t>
  </si>
  <si>
    <t xml:space="preserve">Philip: 13 000/mnd fastlønn + arb.giver. Fanges IKKE av provisjonsformelen (han er ikke provisjonsmegler). Hans foto-fakturaer per oppdrag ligger i variabel overhead (4500).</t>
  </si>
  <si>
    <t xml:space="preserve">MARTE (meglerassistent for Henrik)</t>
  </si>
  <si>
    <t xml:space="preserve">Inkluder Marte? (1 = ja, 0 = nei)</t>
  </si>
  <si>
    <t xml:space="preserve">Ren fast kostnad, ingen egen omsetning.</t>
  </si>
  <si>
    <t xml:space="preserve">Marte fast kostnad – HELÅR (lønn+arb.giver)</t>
  </si>
  <si>
    <t xml:space="preserve">450k fast + feriep 10,2% + AGA + OTP.</t>
  </si>
  <si>
    <t xml:space="preserve">Marte fast kostnad – 2026 (delår fra ~mai)</t>
  </si>
  <si>
    <t xml:space="preserve">~8 mnd i 2026.</t>
  </si>
  <si>
    <t xml:space="preserve">Marte bonus-% av Henriks omsetning</t>
  </si>
  <si>
    <t xml:space="preserve">10% av Henriks provisjon = 10% × 40% = 4% av Henriks omsetning ex mva.</t>
  </si>
  <si>
    <t xml:space="preserve">MIX-ANTAKELSE FOR SCENARIER (sum = 100%)</t>
  </si>
  <si>
    <t xml:space="preserve">Sindre andel av total omsetning</t>
  </si>
  <si>
    <t xml:space="preserve">Default = 2026 hittil-mix.</t>
  </si>
  <si>
    <t xml:space="preserve">Henrik andel</t>
  </si>
  <si>
    <t xml:space="preserve">Daniel andel</t>
  </si>
  <si>
    <t xml:space="preserve">Ny/øvrig megler andel</t>
  </si>
  <si>
    <t xml:space="preserve">Sum andeler (skal = 100%)</t>
  </si>
  <si>
    <t xml:space="preserve">BREAK-EVEN-INPUT (steady-state)</t>
  </si>
  <si>
    <t xml:space="preserve">Snitt omsetning ex mva per solgt oppdrag</t>
  </si>
  <si>
    <t xml:space="preserve">2025: 4,86M / 75 solgte. Brukes til å regne break-even når oppdrag inn = solgt.</t>
  </si>
  <si>
    <t xml:space="preserve">PER MEGLER — to drivere: salg (meglerlønn) og oppdrag inn (markedskost)</t>
  </si>
  <si>
    <t xml:space="preserve">Megler</t>
  </si>
  <si>
    <t xml:space="preserve">Omsetning ex mva (BLÅ)</t>
  </si>
  <si>
    <t xml:space="preserve">Provisjons-sats</t>
  </si>
  <si>
    <t xml:space="preserve">Meglerlønn (loaded)</t>
  </si>
  <si>
    <t xml:space="preserve">Oppdrag inn (BLÅ)</t>
  </si>
  <si>
    <t xml:space="preserve">Markedskost</t>
  </si>
  <si>
    <t xml:space="preserve">RESULTATBRO (resultat før skatt)</t>
  </si>
  <si>
    <t xml:space="preserve">Sindre</t>
  </si>
  <si>
    <t xml:space="preserve">Omsetning ex mva (solgt)</t>
  </si>
  <si>
    <t xml:space="preserve">Henrik</t>
  </si>
  <si>
    <t xml:space="preserve">− Meglerlønn inkl. arbeidsgiver (salg)</t>
  </si>
  <si>
    <t xml:space="preserve">Daniel</t>
  </si>
  <si>
    <t xml:space="preserve">− Tap på fordringer (salg)</t>
  </si>
  <si>
    <t xml:space="preserve">Ny/øvrig megler</t>
  </si>
  <si>
    <t xml:space="preserve">− Markedskost (oppdrag inn)</t>
  </si>
  <si>
    <t xml:space="preserve">SUM</t>
  </si>
  <si>
    <t xml:space="preserve">− Marte bonus (4% av Henriks omsetning)</t>
  </si>
  <si>
    <t xml:space="preserve">Dekningsbidrag</t>
  </si>
  <si>
    <t xml:space="preserve">Default = annualisert 2026 run-rate (omsetning + oppdrag inn). Skriv inn DINE måltall.</t>
  </si>
  <si>
    <t xml:space="preserve">− Fast overhead</t>
  </si>
  <si>
    <t xml:space="preserve">To drivere: Omsetning (salg) → meglerlønn. Oppdrag inn → markedskost (foto/reise/annonse). Tar du inn flere oppdrag enn du selger, stiger markedskost uten at salg dekker den.</t>
  </si>
  <si>
    <t xml:space="preserve">− Utstyr/inventar-avsetning</t>
  </si>
  <si>
    <t xml:space="preserve">− Avskrivning</t>
  </si>
  <si>
    <t xml:space="preserve">NB: Forutsetter at Sindre tar FULL provisjon (7,1G-planen). Historisk har provisjonen stått som overskudd – senk hans sats/omsetning for å se effekten.</t>
  </si>
  <si>
    <t xml:space="preserve">− Marte fast kostnad (helår)</t>
  </si>
  <si>
    <t xml:space="preserve">− Philip + øvrig fastlønn</t>
  </si>
  <si>
    <t xml:space="preserve">− Netto finanskostnad</t>
  </si>
  <si>
    <t xml:space="preserve">RESULTAT FØR SKATT</t>
  </si>
  <si>
    <t xml:space="preserve">Dekningsgrad (% av omsetning)</t>
  </si>
  <si>
    <t xml:space="preserve">Resultatmargin</t>
  </si>
  <si>
    <t xml:space="preserve">Tips: Øk «Oppdrag inn» uten å øke omsetning → se hvordan markedskost spiser resultatet.</t>
  </si>
  <si>
    <t xml:space="preserve">BREAK-EVEN — kostnad ved inntak vs. inntekt ved salg</t>
  </si>
  <si>
    <t xml:space="preserve">To atskilte prosesser: markedskost påløper når oppdrag tas INN (uansett salg). Meglerlønn utløses kun ved SALG og er selvfinansierende. Break-even = dekke faste kostnader + påløpt markedskost.</t>
  </si>
  <si>
    <t xml:space="preserve">1) KOSTBASE Å DEKKE  (påløper uavhengig av salg)</t>
  </si>
  <si>
    <t xml:space="preserve">Fast overhead</t>
  </si>
  <si>
    <t xml:space="preserve">Utstyr/inventar-avsetning</t>
  </si>
  <si>
    <t xml:space="preserve">Avskrivning (base case)</t>
  </si>
  <si>
    <t xml:space="preserve">Marte fast kostnad (helår)</t>
  </si>
  <si>
    <t xml:space="preserve">Philip + øvrig fastlønn</t>
  </si>
  <si>
    <t xml:space="preserve">Netto finanskostnad</t>
  </si>
  <si>
    <t xml:space="preserve">Sum faste kostnader</t>
  </si>
  <si>
    <t xml:space="preserve">Antall oppdrag inn (per år)  ← BLÅ</t>
  </si>
  <si>
    <t xml:space="preserve">× Markedskost per oppdrag inn</t>
  </si>
  <si>
    <t xml:space="preserve">Markedskost totalt (inntak)</t>
  </si>
  <si>
    <t xml:space="preserve">KOSTBASE (faste + markedskost)</t>
  </si>
  <si>
    <t xml:space="preserve">2) DEKKES AV FIRMAETS ANDEL AV SALG</t>
  </si>
  <si>
    <t xml:space="preserve">Meglerlønn-rate (drives av salg — IKKE i kostbasen)</t>
  </si>
  <si>
    <t xml:space="preserve">Tap på fordringer-rate</t>
  </si>
  <si>
    <t xml:space="preserve">Firmaandel per omsetningskrone (1 − meglerlønn − tap)</t>
  </si>
  <si>
    <t xml:space="preserve">3) BREAK-EVEN</t>
  </si>
  <si>
    <t xml:space="preserve">Break-even omsetning ex mva (salg)</t>
  </si>
  <si>
    <t xml:space="preserve">Antall solgte oppdrag</t>
  </si>
  <si>
    <t xml:space="preserve">Meglerlønn utbetalt ved break-even (selvfinansiert)</t>
  </si>
  <si>
    <t xml:space="preserve">Tolkning: firmaet beholder ~44 øre per solgt krone (resten til megler). For å dekke kostbasen må salget gi nok firmaandel.</t>
  </si>
  <si>
    <t xml:space="preserve">4) SCENARIER — nødvendig omsetning for overskuddsmål</t>
  </si>
  <si>
    <t xml:space="preserve">Overskuddsmål (resultat før skatt)</t>
  </si>
  <si>
    <t xml:space="preserve">Nødvendig omsetning ex mva (salg)</t>
  </si>
  <si>
    <t xml:space="preserve">  → Sindre (andel)</t>
  </si>
  <si>
    <t xml:space="preserve">  → Henrik (andel)</t>
  </si>
  <si>
    <t xml:space="preserve">  → Daniel (andel)</t>
  </si>
  <si>
    <t xml:space="preserve">  → Ny/øvrig (andel)</t>
  </si>
  <si>
    <t xml:space="preserve">Kontroll: resultat før skatt</t>
  </si>
  <si>
    <t xml:space="preserve">5) EFFEKT AV OPPDRAG INN PÅ BREAK-EVEN (mer inntak = mer markedskost)</t>
  </si>
  <si>
    <t xml:space="preserve">Antall oppdrag inn (per år)</t>
  </si>
  <si>
    <t xml:space="preserve">Markedskost totalt</t>
  </si>
  <si>
    <t xml:space="preserve">Kostbase (faste + marked)</t>
  </si>
  <si>
    <t xml:space="preserve">Break-even omsetning</t>
  </si>
  <si>
    <t xml:space="preserve">Til sammenligning</t>
  </si>
  <si>
    <t xml:space="preserve">2025 faktisk omsetning ex mva (75 solgt)</t>
  </si>
  <si>
    <t xml:space="preserve">2026 hittil (per 16. jun, 29 solgt)</t>
  </si>
  <si>
    <t xml:space="preserve">2026 annualisert (run-rate)</t>
  </si>
  <si>
    <t xml:space="preserve">Gammel flat-margin break-even (handoff)</t>
  </si>
  <si>
    <t xml:space="preserve">Følsomhet — break-even omsetning</t>
  </si>
  <si>
    <t xml:space="preserve">Base (228k avskr, Marte+Philip, 100 oppdrag inn)</t>
  </si>
  <si>
    <t xml:space="preserve">Cash-basis (avskrivning = 0)</t>
  </si>
  <si>
    <t xml:space="preserve">Uten Marte</t>
  </si>
  <si>
    <t xml:space="preserve">Uten Philip</t>
  </si>
  <si>
    <t xml:space="preserve">Sindre halv lønn</t>
  </si>
  <si>
    <t xml:space="preserve">KOSTNADSKLASSIFISERING — Fast / Variabel / Engangs</t>
  </si>
  <si>
    <t xml:space="preserve">Konto</t>
  </si>
  <si>
    <t xml:space="preserve">Navn</t>
  </si>
  <si>
    <t xml:space="preserve">Kategori</t>
  </si>
  <si>
    <t xml:space="preserve">Kommentar</t>
  </si>
  <si>
    <t xml:space="preserve">2025</t>
  </si>
  <si>
    <t xml:space="preserve">2026 hittil</t>
  </si>
  <si>
    <t xml:space="preserve">2026 ann.</t>
  </si>
  <si>
    <t xml:space="preserve">Endring ann. vs 2025</t>
  </si>
  <si>
    <t xml:space="preserve">5000</t>
  </si>
  <si>
    <t xml:space="preserve">Lønn til ansatte</t>
  </si>
  <si>
    <t xml:space="preserve">Meglerlønn</t>
  </si>
  <si>
    <t xml:space="preserve">Lønn</t>
  </si>
  <si>
    <t xml:space="preserve">5092</t>
  </si>
  <si>
    <t xml:space="preserve">Feriepenger</t>
  </si>
  <si>
    <t xml:space="preserve">5200</t>
  </si>
  <si>
    <t xml:space="preserve">Fri bil</t>
  </si>
  <si>
    <t xml:space="preserve">5210</t>
  </si>
  <si>
    <t xml:space="preserve">Fri telefon</t>
  </si>
  <si>
    <t xml:space="preserve">5290</t>
  </si>
  <si>
    <t xml:space="preserve">Motkonto for gruppe 52</t>
  </si>
  <si>
    <t xml:space="preserve">Motkonto gr.52</t>
  </si>
  <si>
    <t xml:space="preserve">5400</t>
  </si>
  <si>
    <t xml:space="preserve">Arbeidsgiveravgift</t>
  </si>
  <si>
    <t xml:space="preserve">AGA</t>
  </si>
  <si>
    <t xml:space="preserve">5405</t>
  </si>
  <si>
    <t xml:space="preserve">Arb.giv.avg av pål. feriepenger</t>
  </si>
  <si>
    <t xml:space="preserve">AGA feriepenger</t>
  </si>
  <si>
    <t xml:space="preserve">5500</t>
  </si>
  <si>
    <t xml:space="preserve">Annen kostnadsgodtgjørelse</t>
  </si>
  <si>
    <t xml:space="preserve">Kostnadsgodtgj.</t>
  </si>
  <si>
    <t xml:space="preserve">5920</t>
  </si>
  <si>
    <t xml:space="preserve">Yrkesskadeforsikring</t>
  </si>
  <si>
    <t xml:space="preserve">Yrkesskade</t>
  </si>
  <si>
    <t xml:space="preserve">5950</t>
  </si>
  <si>
    <t xml:space="preserve">Obligatorisk tjenestepensjon (OTP)</t>
  </si>
  <si>
    <t xml:space="preserve">OTP</t>
  </si>
  <si>
    <t xml:space="preserve">4000</t>
  </si>
  <si>
    <t xml:space="preserve">Innkjøp av råvarer og halvfabrikata</t>
  </si>
  <si>
    <t xml:space="preserve">Variabel</t>
  </si>
  <si>
    <t xml:space="preserve">Råvarer/småinnkjøp</t>
  </si>
  <si>
    <t xml:space="preserve">4060</t>
  </si>
  <si>
    <t xml:space="preserve">Frakt, toll og spedisjon</t>
  </si>
  <si>
    <t xml:space="preserve">Frakt</t>
  </si>
  <si>
    <t xml:space="preserve">4300</t>
  </si>
  <si>
    <t xml:space="preserve">Innkjøp av varer for videresalg</t>
  </si>
  <si>
    <t xml:space="preserve">Varer for videresalg</t>
  </si>
  <si>
    <t xml:space="preserve">4360</t>
  </si>
  <si>
    <t xml:space="preserve">4500</t>
  </si>
  <si>
    <t xml:space="preserve">Fremmedytelse og underentreprise</t>
  </si>
  <si>
    <t xml:space="preserve">Fremmedytelse: foto, klargjøring, kran</t>
  </si>
  <si>
    <t xml:space="preserve">7000</t>
  </si>
  <si>
    <t xml:space="preserve">Drivstoff</t>
  </si>
  <si>
    <t xml:space="preserve">Drivstoff firmabiler</t>
  </si>
  <si>
    <t xml:space="preserve">7090</t>
  </si>
  <si>
    <t xml:space="preserve">Annen kostnad transportmidler</t>
  </si>
  <si>
    <t xml:space="preserve">7100</t>
  </si>
  <si>
    <t xml:space="preserve">Bilgodtgjørelse, oppgavepliktig</t>
  </si>
  <si>
    <t xml:space="preserve">Bilgodtgjørelse (visninger/reise)</t>
  </si>
  <si>
    <t xml:space="preserve">7140</t>
  </si>
  <si>
    <t xml:space="preserve">Reisekostnad, ikke oppgavepliktig</t>
  </si>
  <si>
    <t xml:space="preserve">Reisekostnad (visninger)</t>
  </si>
  <si>
    <t xml:space="preserve">7150</t>
  </si>
  <si>
    <t xml:space="preserve">Diettkostnad, oppgavepliktig</t>
  </si>
  <si>
    <t xml:space="preserve">Diett</t>
  </si>
  <si>
    <t xml:space="preserve">7160</t>
  </si>
  <si>
    <t xml:space="preserve">Diettkostnad, ikke oppgavepliktig</t>
  </si>
  <si>
    <t xml:space="preserve">7300</t>
  </si>
  <si>
    <t xml:space="preserve">Salgskostnad</t>
  </si>
  <si>
    <t xml:space="preserve">Salgskostnad (Finn-annonser m.m.)</t>
  </si>
  <si>
    <t xml:space="preserve">7320</t>
  </si>
  <si>
    <t xml:space="preserve">Reklamekostnad</t>
  </si>
  <si>
    <t xml:space="preserve">Reklame</t>
  </si>
  <si>
    <t xml:space="preserve">7830</t>
  </si>
  <si>
    <t xml:space="preserve">Tap på fordringer</t>
  </si>
  <si>
    <t xml:space="preserve">5900</t>
  </si>
  <si>
    <t xml:space="preserve">Gaver til ansatte</t>
  </si>
  <si>
    <t xml:space="preserve">Fast</t>
  </si>
  <si>
    <t xml:space="preserve">Gaver ansatte</t>
  </si>
  <si>
    <t xml:space="preserve">5910</t>
  </si>
  <si>
    <t xml:space="preserve">Kantinekostnad</t>
  </si>
  <si>
    <t xml:space="preserve">Kantine</t>
  </si>
  <si>
    <t xml:space="preserve">5912</t>
  </si>
  <si>
    <t xml:space="preserve">Overtidsmat</t>
  </si>
  <si>
    <t xml:space="preserve">5990</t>
  </si>
  <si>
    <t xml:space="preserve">Annen personalkostnad</t>
  </si>
  <si>
    <t xml:space="preserve">Annen personalkostnad (inkl. kick-off engangs i 2026)</t>
  </si>
  <si>
    <t xml:space="preserve">6100</t>
  </si>
  <si>
    <t xml:space="preserve">Frakt, transportkostnad og forsikring ved vareforsendelse</t>
  </si>
  <si>
    <t xml:space="preserve">Frakt/forsikring</t>
  </si>
  <si>
    <t xml:space="preserve">6300</t>
  </si>
  <si>
    <t xml:space="preserve">Leie lokale</t>
  </si>
  <si>
    <t xml:space="preserve">6301</t>
  </si>
  <si>
    <t xml:space="preserve">Leie garasjeplass v/ Lille Bislett</t>
  </si>
  <si>
    <t xml:space="preserve">Garasjeplass</t>
  </si>
  <si>
    <t xml:space="preserve">6302</t>
  </si>
  <si>
    <t xml:space="preserve">Husleie Vekstveien</t>
  </si>
  <si>
    <t xml:space="preserve">6303</t>
  </si>
  <si>
    <t xml:space="preserve">Leie av båtplass</t>
  </si>
  <si>
    <t xml:space="preserve">Båtplass</t>
  </si>
  <si>
    <t xml:space="preserve">6304</t>
  </si>
  <si>
    <t xml:space="preserve">Leie konto i egen bolig</t>
  </si>
  <si>
    <t xml:space="preserve">Leie kontor egen bolig</t>
  </si>
  <si>
    <t xml:space="preserve">6360</t>
  </si>
  <si>
    <t xml:space="preserve">Renhold</t>
  </si>
  <si>
    <t xml:space="preserve">6400</t>
  </si>
  <si>
    <t xml:space="preserve">Leie maskiner</t>
  </si>
  <si>
    <t xml:space="preserve">6410</t>
  </si>
  <si>
    <t xml:space="preserve">Leie inventar</t>
  </si>
  <si>
    <t xml:space="preserve">6420</t>
  </si>
  <si>
    <t xml:space="preserve">Leie datasystemer</t>
  </si>
  <si>
    <t xml:space="preserve">6421</t>
  </si>
  <si>
    <t xml:space="preserve">Leie datasystemer, utlandet</t>
  </si>
  <si>
    <t xml:space="preserve">Leie datasystemer utland (CRM/IT)</t>
  </si>
  <si>
    <t xml:space="preserve">6490</t>
  </si>
  <si>
    <t xml:space="preserve">Annen leiekostnad</t>
  </si>
  <si>
    <t xml:space="preserve">Annen leie</t>
  </si>
  <si>
    <t xml:space="preserve">6550</t>
  </si>
  <si>
    <t xml:space="preserve">Driftsmateriale</t>
  </si>
  <si>
    <t xml:space="preserve">6560</t>
  </si>
  <si>
    <t xml:space="preserve">Rekvisita</t>
  </si>
  <si>
    <t xml:space="preserve">6570</t>
  </si>
  <si>
    <t xml:space="preserve">Arbeidsklær og verneutstyr</t>
  </si>
  <si>
    <t xml:space="preserve">Arbeidsklær/profiltøy</t>
  </si>
  <si>
    <t xml:space="preserve">6690</t>
  </si>
  <si>
    <t xml:space="preserve">Reparasjon og vedlikehold annet</t>
  </si>
  <si>
    <t xml:space="preserve">Reparasjon/vedlikehold</t>
  </si>
  <si>
    <t xml:space="preserve">6700</t>
  </si>
  <si>
    <t xml:space="preserve">Revisjons- og regnskapshonorar</t>
  </si>
  <si>
    <t xml:space="preserve">Revisjon/regnskap</t>
  </si>
  <si>
    <t xml:space="preserve">6720</t>
  </si>
  <si>
    <t xml:space="preserve">Honorar for økonomisk og juridisk bistand</t>
  </si>
  <si>
    <t xml:space="preserve">Juridisk/økonomisk bistand</t>
  </si>
  <si>
    <t xml:space="preserve">6790</t>
  </si>
  <si>
    <t xml:space="preserve">Annen fremmed tjeneste</t>
  </si>
  <si>
    <t xml:space="preserve">6800</t>
  </si>
  <si>
    <t xml:space="preserve">Kontorrekvisita</t>
  </si>
  <si>
    <t xml:space="preserve">6840</t>
  </si>
  <si>
    <t xml:space="preserve">Aviser, tidsskrifter, bøker o.l.</t>
  </si>
  <si>
    <t xml:space="preserve">Aviser/bøker</t>
  </si>
  <si>
    <t xml:space="preserve">6860</t>
  </si>
  <si>
    <t xml:space="preserve">Møte, kurs, oppdatering o.l.</t>
  </si>
  <si>
    <t xml:space="preserve">Møte/kurs</t>
  </si>
  <si>
    <t xml:space="preserve">6900</t>
  </si>
  <si>
    <t xml:space="preserve">Telefon</t>
  </si>
  <si>
    <t xml:space="preserve">6907</t>
  </si>
  <si>
    <t xml:space="preserve">Internett</t>
  </si>
  <si>
    <t xml:space="preserve">7020</t>
  </si>
  <si>
    <t xml:space="preserve">Vedlikehold</t>
  </si>
  <si>
    <t xml:space="preserve">7040</t>
  </si>
  <si>
    <t xml:space="preserve">Forsikring</t>
  </si>
  <si>
    <t xml:space="preserve">Forsikring transport</t>
  </si>
  <si>
    <t xml:space="preserve">7350</t>
  </si>
  <si>
    <t xml:space="preserve">Representasjon, fradragsberettiget</t>
  </si>
  <si>
    <t xml:space="preserve">Representasjon</t>
  </si>
  <si>
    <t xml:space="preserve">7360</t>
  </si>
  <si>
    <t xml:space="preserve">Representasjon, ikke fradragsberettiget</t>
  </si>
  <si>
    <t xml:space="preserve">Representasjon u/fradrag</t>
  </si>
  <si>
    <t xml:space="preserve">7400</t>
  </si>
  <si>
    <t xml:space="preserve">Kontingent, fradragsberettiget</t>
  </si>
  <si>
    <t xml:space="preserve">Kontingent</t>
  </si>
  <si>
    <t xml:space="preserve">7430</t>
  </si>
  <si>
    <t xml:space="preserve">Gave, ikke fradragsberettiget</t>
  </si>
  <si>
    <t xml:space="preserve">Gave</t>
  </si>
  <si>
    <t xml:space="preserve">7500</t>
  </si>
  <si>
    <t xml:space="preserve">Forsikringspremie</t>
  </si>
  <si>
    <t xml:space="preserve">7710</t>
  </si>
  <si>
    <t xml:space="preserve">Styre- og bedriftsforsamlingsmøter</t>
  </si>
  <si>
    <t xml:space="preserve">Styremøter</t>
  </si>
  <si>
    <t xml:space="preserve">7740</t>
  </si>
  <si>
    <t xml:space="preserve">Øresavrunding</t>
  </si>
  <si>
    <t xml:space="preserve">7770</t>
  </si>
  <si>
    <t xml:space="preserve">Bank- og kortgebyr</t>
  </si>
  <si>
    <t xml:space="preserve">Bank/kortgebyr</t>
  </si>
  <si>
    <t xml:space="preserve">7790</t>
  </si>
  <si>
    <t xml:space="preserve">Annen kostnad</t>
  </si>
  <si>
    <t xml:space="preserve">7795</t>
  </si>
  <si>
    <t xml:space="preserve">Annen kostnad u/fradrag</t>
  </si>
  <si>
    <t xml:space="preserve">6540</t>
  </si>
  <si>
    <t xml:space="preserve">Inventar</t>
  </si>
  <si>
    <t xml:space="preserve">Engangs</t>
  </si>
  <si>
    <t xml:space="preserve">Inventar: kontorbygg + kamerautstyr (lumpy)</t>
  </si>
  <si>
    <t xml:space="preserve">6010</t>
  </si>
  <si>
    <t xml:space="preserve">Avskrivning på transportmidler, maskiner og inventar</t>
  </si>
  <si>
    <t xml:space="preserve">Avskrivning</t>
  </si>
  <si>
    <t xml:space="preserve">Avskr. transportmidler/maskiner/inventar</t>
  </si>
  <si>
    <t xml:space="preserve">6011</t>
  </si>
  <si>
    <t xml:space="preserve">Avskrivning Inventar</t>
  </si>
  <si>
    <t xml:space="preserve">Avskr. inventar</t>
  </si>
  <si>
    <t xml:space="preserve">6012</t>
  </si>
  <si>
    <t xml:space="preserve">Avskrivning andre transportmidler</t>
  </si>
  <si>
    <t xml:space="preserve">Avskr. andre transportmidler</t>
  </si>
  <si>
    <t xml:space="preserve">6013</t>
  </si>
  <si>
    <t xml:space="preserve">Avskrivning båt</t>
  </si>
  <si>
    <t xml:space="preserve">Avskr. båt</t>
  </si>
  <si>
    <t xml:space="preserve">8050</t>
  </si>
  <si>
    <t xml:space="preserve">Annen renteinntekt</t>
  </si>
  <si>
    <t xml:space="preserve">Finans</t>
  </si>
  <si>
    <t xml:space="preserve">Renteinntekt</t>
  </si>
  <si>
    <t xml:space="preserve">8060</t>
  </si>
  <si>
    <t xml:space="preserve">Valutagevinst (agio)</t>
  </si>
  <si>
    <t xml:space="preserve">Valutagevinst</t>
  </si>
  <si>
    <t xml:space="preserve">8140</t>
  </si>
  <si>
    <t xml:space="preserve">Rentekostnad, ikke fradragsberettiget</t>
  </si>
  <si>
    <t xml:space="preserve">Rentekostnad</t>
  </si>
  <si>
    <t xml:space="preserve">8150</t>
  </si>
  <si>
    <t xml:space="preserve">Annen rentekostnad</t>
  </si>
  <si>
    <t xml:space="preserve">8151</t>
  </si>
  <si>
    <t xml:space="preserve">Renter billån</t>
  </si>
  <si>
    <t xml:space="preserve">8160</t>
  </si>
  <si>
    <t xml:space="preserve">Valutatap (disagio)</t>
  </si>
  <si>
    <t xml:space="preserve">Valutatap</t>
  </si>
  <si>
    <t xml:space="preserve">Meglerlønn (5xxx)</t>
  </si>
  <si>
    <t xml:space="preserve">Variabel overhead</t>
  </si>
  <si>
    <t xml:space="preserve">Engangs (inventar 6540)</t>
  </si>
  <si>
    <t xml:space="preserve">Avskrivning (hovedbok)</t>
  </si>
  <si>
    <t xml:space="preserve">Netto finans</t>
  </si>
  <si>
    <t xml:space="preserve">Omsetning ex mva (meglerkreditert, driver)</t>
  </si>
  <si>
    <t xml:space="preserve">Engangs-INNTEKT 2025 (rydding 3900, ~ikke gjentakende)</t>
  </si>
  <si>
    <t xml:space="preserve">UTESTÅENDE SALGSKOSTNAD — påløpt på ÅPNE oppdrag (ikke solgt)</t>
  </si>
  <si>
    <t xml:space="preserve">Kilde: Hovedbok 2025 + 2026 (prosjekt-taggede kostnader) × HubSpot deal-eier. Åpen = ikke i oppgjør 2025/2026. Per 16. jun 2026.</t>
  </si>
  <si>
    <t xml:space="preserve">STYRINGSPARAMETER (blå)</t>
  </si>
  <si>
    <t xml:space="preserve">SAMMENDRAG PER MEGLER</t>
  </si>
  <si>
    <t xml:space="preserve">Tak per oppdrag (kr)</t>
  </si>
  <si>
    <t xml:space="preserve">Oppdrag over dette flagges rødt</t>
  </si>
  <si>
    <t xml:space="preserve"># åpne</t>
  </si>
  <si>
    <t xml:space="preserve">Utestående kr</t>
  </si>
  <si>
    <t xml:space="preserve"># over tak</t>
  </si>
  <si>
    <t xml:space="preserve">Sum over tak</t>
  </si>
  <si>
    <t xml:space="preserve">Ukjent</t>
  </si>
  <si>
    <t xml:space="preserve">TOTAL</t>
  </si>
  <si>
    <t xml:space="preserve">Slik brukes taket: sett en grense per oppdrag (f.eks. 15 000). Oppdrag som passerer grensen før salg flagges OVER, og megleren må få godkjenning for videre markedsføring. Hold «Sum over tak» nede = mindre sløsing på båter som ikke selger.</t>
  </si>
  <si>
    <t xml:space="preserve">DETALJ — alle åpne oppdrag med påløpt salgskostnad</t>
  </si>
  <si>
    <t xml:space="preserve">Oppdrag</t>
  </si>
  <si>
    <t xml:space="preserve">Båt</t>
  </si>
  <si>
    <t xml:space="preserve">Foto/klargjøring</t>
  </si>
  <si>
    <t xml:space="preserve">Salgskostnad (Finn m.m.)</t>
  </si>
  <si>
    <t xml:space="preserve">Reise</t>
  </si>
  <si>
    <t xml:space="preserve">Bilgodtgjørelse</t>
  </si>
  <si>
    <t xml:space="preserve">Over tak?</t>
  </si>
  <si>
    <t xml:space="preserve">26041</t>
  </si>
  <si>
    <t xml:space="preserve">Nimbus 300R</t>
  </si>
  <si>
    <t xml:space="preserve">25065</t>
  </si>
  <si>
    <t xml:space="preserve">Saxdor 320 GTC</t>
  </si>
  <si>
    <t xml:space="preserve">25044</t>
  </si>
  <si>
    <t xml:space="preserve">Jeanneau Sun Odyssey 519</t>
  </si>
  <si>
    <t xml:space="preserve">24026</t>
  </si>
  <si>
    <t xml:space="preserve">Wally 45 Tender</t>
  </si>
  <si>
    <t xml:space="preserve">25027</t>
  </si>
  <si>
    <t xml:space="preserve">Lagoon 52F</t>
  </si>
  <si>
    <t xml:space="preserve">26015</t>
  </si>
  <si>
    <t xml:space="preserve">Skilsø 39 Panorama</t>
  </si>
  <si>
    <t xml:space="preserve">25026</t>
  </si>
  <si>
    <t xml:space="preserve">Timeless 34</t>
  </si>
  <si>
    <t xml:space="preserve">25060</t>
  </si>
  <si>
    <t xml:space="preserve">Goldfish 38 SuperSport</t>
  </si>
  <si>
    <t xml:space="preserve">25056</t>
  </si>
  <si>
    <t xml:space="preserve">Hanse 548</t>
  </si>
  <si>
    <t xml:space="preserve">26010</t>
  </si>
  <si>
    <t xml:space="preserve">Malö 42</t>
  </si>
  <si>
    <t xml:space="preserve">26019</t>
  </si>
  <si>
    <t xml:space="preserve">Beneteau Oceanis 51.1</t>
  </si>
  <si>
    <t xml:space="preserve">26012</t>
  </si>
  <si>
    <t xml:space="preserve">Storebro 420 Baltic</t>
  </si>
  <si>
    <t xml:space="preserve">25081</t>
  </si>
  <si>
    <t xml:space="preserve">Hydrolift X-32S R</t>
  </si>
  <si>
    <t xml:space="preserve">25079</t>
  </si>
  <si>
    <t xml:space="preserve">Storebro 430 Biscay Royal Cruiser</t>
  </si>
  <si>
    <t xml:space="preserve">25095</t>
  </si>
  <si>
    <t xml:space="preserve">Azimut S40</t>
  </si>
  <si>
    <t xml:space="preserve">26038</t>
  </si>
  <si>
    <t xml:space="preserve">Cormate Chase 34-07</t>
  </si>
  <si>
    <t xml:space="preserve">25067</t>
  </si>
  <si>
    <t xml:space="preserve">Goldfish 32 SC</t>
  </si>
  <si>
    <t xml:space="preserve">26047</t>
  </si>
  <si>
    <t xml:space="preserve">Draco 27 RS</t>
  </si>
  <si>
    <t xml:space="preserve">25063</t>
  </si>
  <si>
    <t xml:space="preserve">SeaSide 23</t>
  </si>
  <si>
    <t xml:space="preserve">25096</t>
  </si>
  <si>
    <t xml:space="preserve">Axopar 37 Sun-Top</t>
  </si>
  <si>
    <t xml:space="preserve">25050</t>
  </si>
  <si>
    <t xml:space="preserve">Kragerø/Baltic 34</t>
  </si>
  <si>
    <t xml:space="preserve">25075</t>
  </si>
  <si>
    <t xml:space="preserve">Nimbus 230R</t>
  </si>
  <si>
    <t xml:space="preserve">26013</t>
  </si>
  <si>
    <t xml:space="preserve">Bavaria 36 AC</t>
  </si>
  <si>
    <t xml:space="preserve">26048</t>
  </si>
  <si>
    <t xml:space="preserve">Sea Ray 355 Sundancer</t>
  </si>
  <si>
    <t xml:space="preserve">25085</t>
  </si>
  <si>
    <t xml:space="preserve">Goldfish 29 RIB Tender</t>
  </si>
  <si>
    <t xml:space="preserve">26016</t>
  </si>
  <si>
    <t xml:space="preserve">Bavaria 33 HT</t>
  </si>
  <si>
    <t xml:space="preserve">26026</t>
  </si>
  <si>
    <t xml:space="preserve">Dufour 385 GL</t>
  </si>
  <si>
    <t xml:space="preserve">26040</t>
  </si>
  <si>
    <t xml:space="preserve">25094</t>
  </si>
  <si>
    <t xml:space="preserve">Bavaria S30</t>
  </si>
  <si>
    <t xml:space="preserve">26029</t>
  </si>
  <si>
    <t xml:space="preserve">Quicksilver 875 Sundeck</t>
  </si>
  <si>
    <t xml:space="preserve">26028</t>
  </si>
  <si>
    <t xml:space="preserve">Goldfish 23 Tender</t>
  </si>
  <si>
    <t xml:space="preserve">26039</t>
  </si>
  <si>
    <t xml:space="preserve">Cormate T27-64</t>
  </si>
  <si>
    <t xml:space="preserve">26037</t>
  </si>
  <si>
    <t xml:space="preserve">Cormate SU23-36</t>
  </si>
  <si>
    <t xml:space="preserve">26031</t>
  </si>
  <si>
    <t xml:space="preserve">Campi 400 Husbåt</t>
  </si>
  <si>
    <t xml:space="preserve">26033</t>
  </si>
  <si>
    <t xml:space="preserve">Gobbi 425 SC</t>
  </si>
  <si>
    <t xml:space="preserve">26049</t>
  </si>
  <si>
    <t xml:space="preserve">Cormate T28-68</t>
  </si>
  <si>
    <t xml:space="preserve">25064</t>
  </si>
  <si>
    <t xml:space="preserve">Goldfish 29 Rib Tender</t>
  </si>
  <si>
    <t xml:space="preserve">25043</t>
  </si>
  <si>
    <t xml:space="preserve">Brig Eagle 8</t>
  </si>
  <si>
    <t xml:space="preserve">26022</t>
  </si>
  <si>
    <t xml:space="preserve">26043</t>
  </si>
  <si>
    <t xml:space="preserve">Cormate T27</t>
  </si>
  <si>
    <t xml:space="preserve">26014</t>
  </si>
  <si>
    <t xml:space="preserve">Sunseeker Predator 52</t>
  </si>
  <si>
    <t xml:space="preserve">26021</t>
  </si>
  <si>
    <t xml:space="preserve">Chris-Craft Catalina 26</t>
  </si>
  <si>
    <t xml:space="preserve">26036</t>
  </si>
  <si>
    <t xml:space="preserve">Goldfish 28 RIB</t>
  </si>
  <si>
    <t xml:space="preserve">26042</t>
  </si>
  <si>
    <t xml:space="preserve">Cormate SU23</t>
  </si>
  <si>
    <t xml:space="preserve">24015</t>
  </si>
  <si>
    <t xml:space="preserve">Nimbus W9 T-Top</t>
  </si>
  <si>
    <t xml:space="preserve">23018</t>
  </si>
  <si>
    <t xml:space="preserve">Nimbus C11</t>
  </si>
  <si>
    <t xml:space="preserve">25008</t>
  </si>
  <si>
    <t xml:space="preserve">Beneteau 41 Sedan</t>
  </si>
  <si>
    <t xml:space="preserve">24059</t>
  </si>
  <si>
    <t xml:space="preserve">Nimbus T9</t>
  </si>
  <si>
    <t xml:space="preserve">24024</t>
  </si>
  <si>
    <t xml:space="preserve">Riva Dolceriva 48</t>
  </si>
  <si>
    <t xml:space="preserve">26045</t>
  </si>
  <si>
    <t xml:space="preserve">Cormate Chase 34-13</t>
  </si>
  <si>
    <t xml:space="preserve">25098</t>
  </si>
  <si>
    <t xml:space="preserve">Donna del Mare</t>
  </si>
  <si>
    <t xml:space="preserve">26032</t>
  </si>
  <si>
    <t xml:space="preserve">Sunseeker Superhawk 48</t>
  </si>
  <si>
    <t xml:space="preserve">25089</t>
  </si>
  <si>
    <t xml:space="preserve">Delphia 40.3</t>
  </si>
  <si>
    <t xml:space="preserve">26024</t>
  </si>
  <si>
    <t xml:space="preserve">Goldfish 43 Ocean</t>
  </si>
  <si>
    <t xml:space="preserve">26050</t>
  </si>
  <si>
    <t xml:space="preserve">24033</t>
  </si>
  <si>
    <t xml:space="preserve">Nimbus T11-X</t>
  </si>
  <si>
    <t xml:space="preserve">24042</t>
  </si>
  <si>
    <t xml:space="preserve">Windy Camira 39</t>
  </si>
  <si>
    <t xml:space="preserve">25023</t>
  </si>
  <si>
    <t xml:space="preserve">Bavaria S36 HT</t>
  </si>
  <si>
    <t xml:space="preserve">24011</t>
  </si>
  <si>
    <t xml:space="preserve">23043</t>
  </si>
  <si>
    <t xml:space="preserve">Elan GT5</t>
  </si>
  <si>
    <t xml:space="preserve">24029</t>
  </si>
  <si>
    <t xml:space="preserve">Pardo 43</t>
  </si>
  <si>
    <t xml:space="preserve">24049</t>
  </si>
  <si>
    <t xml:space="preserve">Wauquiez Centurion 42</t>
  </si>
  <si>
    <t xml:space="preserve">26046</t>
  </si>
  <si>
    <t xml:space="preserve">Nimbus T11</t>
  </si>
  <si>
    <t xml:space="preserve">SUM ÅPENT</t>
  </si>
  <si>
    <t xml:space="preserve">HENRIK + MARTE — egen enhet med prøvetids-tripwire</t>
  </si>
  <si>
    <t xml:space="preserve">Marte finnes KUN for å løfte Henriks omsetning. Sindre og Daniel er egne spor med egne budsjetter og er holdt utenfor her. Spørsmålet: leverer Henrik nok til at Marte forsvarer seg — innen prøvetiden?</t>
  </si>
  <si>
    <t xml:space="preserve">1) ENHETSØKONOMI (årsbasis)</t>
  </si>
  <si>
    <t xml:space="preserve">Henriks omsetning ex mva (mål/scenario)  ← BLÅ</t>
  </si>
  <si>
    <t xml:space="preserve">2026 run-rate ~1,4–1,5M</t>
  </si>
  <si>
    <t xml:space="preserve">Henriks solo-baseline UTEN Marte  ← BLÅ</t>
  </si>
  <si>
    <t xml:space="preserve">Hva Henrik ville gjort alene (2025 = 1,6M)</t>
  </si>
  <si>
    <t xml:space="preserve">Firmaandel av Henriks omsetning</t>
  </si>
  <si>
    <t xml:space="preserve">1 − Henrik-provisjon(52%) − tap(1,2%) − markedskost(10,2%)</t>
  </si>
  <si>
    <t xml:space="preserve">Firmabidrag fra Henrik (omsetning)</t>
  </si>
  <si>
    <t xml:space="preserve">Enhetens bidrag til overhead/overskudd</t>
  </si>
  <si>
    <t xml:space="preserve">Til samm.: Henrik SOLO-bidrag (baseline)</t>
  </si>
  <si>
    <t xml:space="preserve">Uten Marte: ingen 575k, ingen bonus</t>
  </si>
  <si>
    <t xml:space="preserve">NETTO VERDI av Marte (enhet − solo)</t>
  </si>
  <si>
    <t xml:space="preserve">Positiv = Marte tjener inn mer enn hun koster</t>
  </si>
  <si>
    <t xml:space="preserve">2) TERSKLER FOR HENRIKS OMSETNING</t>
  </si>
  <si>
    <t xml:space="preserve">GULV — enheten går i null (Marte dekker akkurat seg selv)</t>
  </si>
  <si>
    <t xml:space="preserve">Under dette taper firmaet på Henrik+Marte</t>
  </si>
  <si>
    <t xml:space="preserve">RETTFERDIGGJORT — Marte slår Henrik-solo</t>
  </si>
  <si>
    <t xml:space="preserve">Her tilfører Marte reell verdi</t>
  </si>
  <si>
    <t xml:space="preserve">Henrik må vokse med (fra baseline til rettferdiggjort)</t>
  </si>
  <si>
    <t xml:space="preserve">2b) BIDRAG OG SELSKAPETS BUNNLINJE VED ULIK HENRIK-OMSETNING</t>
  </si>
  <si>
    <t xml:space="preserve">Sindre omsetning (eget spor)  ← BLÅ</t>
  </si>
  <si>
    <t xml:space="preserve">For å regne selskapets bunnlinje. Sindre-andel ~30%.</t>
  </si>
  <si>
    <t xml:space="preserve">Daniel omsetning (eget spor)  ← BLÅ</t>
  </si>
  <si>
    <t xml:space="preserve">Daniel-andel ~37%.</t>
  </si>
  <si>
    <t xml:space="preserve">Henriks omsetning ex mva  ← BLÅ</t>
  </si>
  <si>
    <t xml:space="preserve">Firmabidrag fra Henrik</t>
  </si>
  <si>
    <t xml:space="preserve">− Marte fast kostnad</t>
  </si>
  <si>
    <t xml:space="preserve">− Marte bonus (4%)</t>
  </si>
  <si>
    <t xml:space="preserve">Netto verdi vs Henrik-solo</t>
  </si>
  <si>
    <t xml:space="preserve">+ Sindre-spor bidrag</t>
  </si>
  <si>
    <t xml:space="preserve">+ Daniel-spor bidrag</t>
  </si>
  <si>
    <t xml:space="preserve">− Felles faste kostnader (eks Marte)</t>
  </si>
  <si>
    <t xml:space="preserve">SELSKAPETS RESULTAT FØR SKATT (med Marte)</t>
  </si>
  <si>
    <t xml:space="preserve">Til samm.: bunnlinje UTEN Marte (Henrik solo 1,6M)</t>
  </si>
  <si>
    <t xml:space="preserve">Gevinst/tap av å ha Marte (= netto vs solo)</t>
  </si>
  <si>
    <t xml:space="preserve">«Enhetens bidrag» og «netto vs solo» gjelder Henrik+Marte alene. «Bunnlinje» = hele selskapet: Henrik-enheten + Sindre + Daniel − felles faste (eks Marte). Endre Sindre/Daniel over for andre antakelser.</t>
  </si>
  <si>
    <t xml:space="preserve">3) HENRIKS FAKTISKE 2026-TAKT (fra oppgjør)</t>
  </si>
  <si>
    <t xml:space="preserve">Måned</t>
  </si>
  <si>
    <t xml:space="preserve">Omsetning solgt</t>
  </si>
  <si>
    <t xml:space="preserve">Feb</t>
  </si>
  <si>
    <t xml:space="preserve">Mar</t>
  </si>
  <si>
    <t xml:space="preserve">Apr</t>
  </si>
  <si>
    <t xml:space="preserve">Mai</t>
  </si>
  <si>
    <t xml:space="preserve">SUM hittil 2026 (Feb–Mai)</t>
  </si>
  <si>
    <t xml:space="preserve">Måneder gått (jan–nå)  ← BLÅ</t>
  </si>
  <si>
    <t xml:space="preserve">Henriks ÅRSTAKT (annualisert)</t>
  </si>
  <si>
    <t xml:space="preserve">Avstand til GULV</t>
  </si>
  <si>
    <t xml:space="preserve">Negativ = under gulvet (Marte taper penger i dag)</t>
  </si>
  <si>
    <t xml:space="preserve">Avstand til RETTFERDIGGJORT</t>
  </si>
  <si>
    <t xml:space="preserve">4) PRØVETID — TRIPWIRE OG BESLUTNINGSFRIST</t>
  </si>
  <si>
    <t xml:space="preserve">Marte oppstart  ← BLÅ</t>
  </si>
  <si>
    <t xml:space="preserve">2026-05-01</t>
  </si>
  <si>
    <t xml:space="preserve">Prøvetid (måneder)  ← BLÅ</t>
  </si>
  <si>
    <t xml:space="preserve">Prøvetid utløper</t>
  </si>
  <si>
    <t xml:space="preserve">BESLUTNINGSFRIST (2 uker før utløp)</t>
  </si>
  <si>
    <t xml:space="preserve">STATUS (basert på årstakt vs terskler)</t>
  </si>
  <si>
    <t xml:space="preserve">BESLUTNINGSREGEL</t>
  </si>
  <si>
    <t xml:space="preserve">• Mål gjennom prøvetiden: Henriks årstakt skal akselerere fra ~1,5M mot GULVET (~1,76M) og videre mot RETTFERDIGGJORT (~3,5M).</t>
  </si>
  <si>
    <t xml:space="preserve">• Ligger årstakten fortsatt under gulvet når vi nærmer oss beslutningsfristen, koster Marte firmaet netto penger — da utløses prøvetids-exit.</t>
  </si>
  <si>
    <t xml:space="preserve">• Behold Marte kun hvis Henrik viser tydelig, vedvarende vekst forbi gulvet og klar bane mot rettferdiggjort-nivået innen fristen.</t>
  </si>
  <si>
    <t xml:space="preserve">• NB: Markedskost forutsettes å skalere med omsetning. Hvis Martes verdi er å LUKKE eksisterende beholdning (ikke ta inn nye oppdrag), er terskelen noe lavere.</t>
  </si>
  <si>
    <t xml:space="preserve">LØNNSOMHET PER MEGLER — betaler hver megler for seg selv?</t>
  </si>
  <si>
    <t xml:space="preserve">Prinsipp: hver megler må minst dekke (1) sin andel av felles faste kostnader OG (2) det han selv drar på seg (markedskost, usolgte oppdrag). Marte skaper ingen omsetning → hun bæres 100% av Henrik, og felles faste deles på de 3 inntektsskapende meglerne (÷3, ikke ÷4).</t>
  </si>
  <si>
    <t xml:space="preserve">FELLES FASTE KOSTNADER (eks Marte) — deles ÷3</t>
  </si>
  <si>
    <t xml:space="preserve">Foto for alle → felles</t>
  </si>
  <si>
    <t xml:space="preserve">Sum felles faste</t>
  </si>
  <si>
    <t xml:space="preserve">Andel per megler (÷3)</t>
  </si>
  <si>
    <t xml:space="preserve">PER MEGLER</t>
  </si>
  <si>
    <t xml:space="preserve">Henrik (+Marte)</t>
  </si>
  <si>
    <t xml:space="preserve">Omsetning ex mva  ← BLÅ</t>
  </si>
  <si>
    <t xml:space="preserve">Provisjonssats</t>
  </si>
  <si>
    <t xml:space="preserve">− Meglerlønn (loaded)</t>
  </si>
  <si>
    <t xml:space="preserve">− Tap på fordringer</t>
  </si>
  <si>
    <t xml:space="preserve">Firmabidrag etter megler</t>
  </si>
  <si>
    <t xml:space="preserve">− Direkte markedskost (faktisk, prosjektregnskap)  ← BLÅ</t>
  </si>
  <si>
    <t xml:space="preserve">− Marte (fast 575k + bonus 4%)</t>
  </si>
  <si>
    <t xml:space="preserve">Bidrag før felles faste</t>
  </si>
  <si>
    <t xml:space="preserve">− Andel felles faste (÷3)</t>
  </si>
  <si>
    <t xml:space="preserve">BETALER FOR SEG SELV?</t>
  </si>
  <si>
    <t xml:space="preserve">Status</t>
  </si>
  <si>
    <t xml:space="preserve">Omsetning som KREVES for å dekke seg selv</t>
  </si>
  <si>
    <t xml:space="preserve">Avstand fra dagens omsetning</t>
  </si>
  <si>
    <t xml:space="preserve">FAKTISK MARKEDSKOST PER MEGLER (prosjektregnskap, 2025 + 2026 H1)</t>
  </si>
  <si>
    <t xml:space="preserve">  herav på SOLGTE oppdrag</t>
  </si>
  <si>
    <t xml:space="preserve">  herav på USOLGTE oppdrag (utestående nå)</t>
  </si>
  <si>
    <t xml:space="preserve">Korrigert mot HubSpot Closed-Won (4 solgte uten oppgjør flyttet ut). Per 16.jun.</t>
  </si>
  <si>
    <t xml:space="preserve">  = total markedskost-fotavtrykk</t>
  </si>
  <si>
    <t xml:space="preserve">NB: erstatt markedskost-tallene med PowerOffice prosjektregnskap for eksakte, båtspesifikke kostnader (Philip fakturerer ulik sats etter båtverdi). Da fanges også hver meglers usolgte-oppdrag-kostnader presist.</t>
  </si>
  <si>
    <t xml:space="preserve">Kontroll: sum «betaler for seg selv» = selskapets resultat før skatt</t>
  </si>
  <si>
    <t xml:space="preserve">KOSTNADSBUDSJETT 2026 — forventet helår (for gulv/break-even per megler)</t>
  </si>
  <si>
    <t xml:space="preserve">Oppdatert med Sindres innspill (juni 2026). Blå = forventet helår, overstyrbar. Provisjon/meglerlønn er IKKE her (modelleres som % av salg).</t>
  </si>
  <si>
    <t xml:space="preserve">Gruppe</t>
  </si>
  <si>
    <t xml:space="preserve">2026 H1</t>
  </si>
  <si>
    <t xml:space="preserve">Annual. H1</t>
  </si>
  <si>
    <t xml:space="preserve">Forventet 2026</t>
  </si>
  <si>
    <t xml:space="preserve">Driver</t>
  </si>
  <si>
    <t xml:space="preserve">FASTE OVERHEAD (felles — deles ÷3)</t>
  </si>
  <si>
    <t xml:space="preserve">Lokaler (kontor, båtplass, renhold)</t>
  </si>
  <si>
    <t xml:space="preserve">Eksist. indeksjustert + nytt kontorrom egen bolig 11k/mnd. Lager 9k/mnd flyttes til serviceselskap fra juli (sparer H2). BEKREFT totalen.</t>
  </si>
  <si>
    <t xml:space="preserve">IT / datasystemer / lisenser</t>
  </si>
  <si>
    <t xml:space="preserve">HubSpot reforhandlet betydelig billigere → ned fra 339k.</t>
  </si>
  <si>
    <t xml:space="preserve">Leie maskiner / inventar</t>
  </si>
  <si>
    <t xml:space="preserve">Viderefaktureres i sin helhet → 0,-</t>
  </si>
  <si>
    <t xml:space="preserve">Revisjon / regnskap / juridisk</t>
  </si>
  <si>
    <t xml:space="preserve">Årsoppgjør faktureres senere.</t>
  </si>
  <si>
    <t xml:space="preserve">Kontor / rekvisita / driftsmateriale</t>
  </si>
  <si>
    <t xml:space="preserve">Inkl. reparasjon/vedlikehold ~13k.</t>
  </si>
  <si>
    <t xml:space="preserve">Telefon / internett</t>
  </si>
  <si>
    <t xml:space="preserve">Samme kostnad som 2025 (H1 = timing).</t>
  </si>
  <si>
    <t xml:space="preserve">Møte / kurs</t>
  </si>
  <si>
    <t xml:space="preserve">Bekreftet 0 i 2026.</t>
  </si>
  <si>
    <t xml:space="preserve">Økt i 2026 vs 2025 (54k).</t>
  </si>
  <si>
    <t xml:space="preserve">Bil drift (drivstoff/vedlh/annet)</t>
  </si>
  <si>
    <t xml:space="preserve">Lavere i H1.</t>
  </si>
  <si>
    <t xml:space="preserve">Bank / kontingent / diverse småposter</t>
  </si>
  <si>
    <t xml:space="preserve">Bank + kontingent ~14k</t>
  </si>
  <si>
    <t xml:space="preserve">Profil / arbeidsklær</t>
  </si>
  <si>
    <t xml:space="preserve">Ny i 2026. Engangspreget.</t>
  </si>
  <si>
    <t xml:space="preserve">Inventar (lumpy capex)</t>
  </si>
  <si>
    <t xml:space="preserve">2025 oppblåst. Normalisert avsetning.</t>
  </si>
  <si>
    <t xml:space="preserve">Sum faste overhead</t>
  </si>
  <si>
    <t xml:space="preserve">PERSONELL FAST (ikke provisjon)</t>
  </si>
  <si>
    <t xml:space="preserve">Philip fastlønn (13k/mnd + arb.giver)</t>
  </si>
  <si>
    <t xml:space="preserve">Fast del. Hans per-oppdrag foto ligger i Markedskost (Foto: Philip).</t>
  </si>
  <si>
    <t xml:space="preserve">Marte (fast, inkl. arb.giver)</t>
  </si>
  <si>
    <t xml:space="preserve">2026 DELÅR ~8 mnd (oppstart mai). Helår = 575k. Bonus 4% av Henriks oms = variabel.</t>
  </si>
  <si>
    <t xml:space="preserve">AVSKRIVNING (ikke-kontant)</t>
  </si>
  <si>
    <t xml:space="preserve">Avskrivning (saldo)</t>
  </si>
  <si>
    <t xml:space="preserve">Avskr</t>
  </si>
  <si>
    <t xml:space="preserve">228k planlagt (maksimert saldo).</t>
  </si>
  <si>
    <t xml:space="preserve">MARKEDSKOST (variabel — per oppdrag inn)</t>
  </si>
  <si>
    <t xml:space="preserve">Foto: Philip (fakturert per oppdrag)</t>
  </si>
  <si>
    <t xml:space="preserve">Marked</t>
  </si>
  <si>
    <t xml:space="preserve">På toppen av 13k/mnd fastlønn. Fordeles per oppdrag via prosjektregnskap. 263k = annualisert H1 — kan være sesong-overdrevet (foto topper vår). BEKREFT.</t>
  </si>
  <si>
    <t xml:space="preserve">Foto: eksterne (Norheim m.fl.)</t>
  </si>
  <si>
    <t xml:space="preserve">Norheim = gamle skyldnader (2024/2025), nå oppgjort. 0,- herfra og ut.</t>
  </si>
  <si>
    <t xml:space="preserve">Fremmedytelse (klargjøring/kran/vask)</t>
  </si>
  <si>
    <t xml:space="preserve">Inn/ut (gjennomstrømming) → 0,-</t>
  </si>
  <si>
    <t xml:space="preserve">Stiger med antall annonser.</t>
  </si>
  <si>
    <t xml:space="preserve">30k planlagt</t>
  </si>
  <si>
    <t xml:space="preserve">Reise / diett</t>
  </si>
  <si>
    <t xml:space="preserve">50k planlagt</t>
  </si>
  <si>
    <t xml:space="preserve">Visninger/befaringer.</t>
  </si>
  <si>
    <t xml:space="preserve">Varekjøp / frakt diverse</t>
  </si>
  <si>
    <t xml:space="preserve">Inn/ut → 0,-</t>
  </si>
  <si>
    <t xml:space="preserve">Sum markedskost</t>
  </si>
  <si>
    <t xml:space="preserve">SALG-DREVET</t>
  </si>
  <si>
    <t xml:space="preserve">Salg</t>
  </si>
  <si>
    <t xml:space="preserve">Bekreftet: blir det ikke i 2026.</t>
  </si>
  <si>
    <t xml:space="preserve">OPPSUMMERING → DRIVERE FOR GULV/BREAK-EVEN</t>
  </si>
  <si>
    <t xml:space="preserve">Felles faste (eks Marte) = overhead + Philip + avskrivning + tap − finans</t>
  </si>
  <si>
    <t xml:space="preserve">Deles ÷3</t>
  </si>
  <si>
    <t xml:space="preserve">  → per megler (÷3)</t>
  </si>
  <si>
    <t xml:space="preserve">Marte (Henrik direkte, 2026 delår)</t>
  </si>
  <si>
    <t xml:space="preserve">Markedskost total</t>
  </si>
  <si>
    <t xml:space="preserve">Antall oppdrag inn (forventet 2026)  ← BLÅ</t>
  </si>
  <si>
    <t xml:space="preserve">  → markedskost per oppdrag</t>
  </si>
  <si>
    <t xml:space="preserve">NB: Meglerlønn/provisjon kommer i tillegg (% av salg). Disse driverne kan mates inn i «Break-even» og «Lønnsomhet per megler».</t>
  </si>
  <si>
    <t xml:space="preserve">TRAKT PER MEGLER — fra FSBO-outreach til salg (HubSpot)</t>
  </si>
  <si>
    <t xml:space="preserve">Data hovedsakelig 2026 (acquisition-pipen + Marte er 2026). Henrik = Henrik + Marte (outreach). Sindre gjør ikke outreach. NB: befaring logges nesten ikke som aktivitet (~0) → «Valuation»-steget i pipen brukes som befaring-mål. Små tall = styringsindikator, ikke presisjonsprognose.</t>
  </si>
  <si>
    <t xml:space="preserve">1) TRAKT — antall (siste ~12 mnd)</t>
  </si>
  <si>
    <t xml:space="preserve">Henrik + Marte</t>
  </si>
  <si>
    <t xml:space="preserve">FSBO outreach calls</t>
  </si>
  <si>
    <t xml:space="preserve">Henrik=138+Marte 167. Sindre gjør ~ikke outreach.</t>
  </si>
  <si>
    <t xml:space="preserve">Pipeline A-deals (henvendelser inn)</t>
  </si>
  <si>
    <t xml:space="preserve">Opportunities i Seller Acquisition.</t>
  </si>
  <si>
    <t xml:space="preserve">Nådde Valuation (= befaring)</t>
  </si>
  <si>
    <t xml:space="preserve">Befaring-steg i CRM. Faktisk logget befaring-aktivitet ~0.</t>
  </si>
  <si>
    <t xml:space="preserve">Signert oppdrag</t>
  </si>
  <si>
    <t xml:space="preserve">Agreement Signed.</t>
  </si>
  <si>
    <t xml:space="preserve">Solgt</t>
  </si>
  <si>
    <t xml:space="preserve">Pipeline B Closed Won (inkl. eldre oppdrag fra gammel pipe).</t>
  </si>
  <si>
    <t xml:space="preserve">2) KONVERTERINGSRATER (regnet av tallene over)</t>
  </si>
  <si>
    <t xml:space="preserve">Call → deal</t>
  </si>
  <si>
    <t xml:space="preserve">—</t>
  </si>
  <si>
    <t xml:space="preserve">Sindre: inbound, ikke fra calls.</t>
  </si>
  <si>
    <t xml:space="preserve">Deal → befaring (valuation)</t>
  </si>
  <si>
    <t xml:space="preserve">Befaring → signert oppdrag</t>
  </si>
  <si>
    <t xml:space="preserve">Deal → signert (samlet acquisition)</t>
  </si>
  <si>
    <t xml:space="preserve">Tolkning: Daniel ringer mest (494) men bare 4% blir deals — til gjengjeld signerer han 52% av dem. Henrik+Marte: 27% av calls blir deals, men bare 23% signeres. Sindre (inbound) signerer 74%.</t>
  </si>
  <si>
    <t xml:space="preserve">3) REVERSE-KALKULATOR — aktivitet for å nå gulvet</t>
  </si>
  <si>
    <t xml:space="preserve">Blå celler = juster. Mål-omsetning er default hver meglers gulv.</t>
  </si>
  <si>
    <t xml:space="preserve">Mål omsetning ex mva (gulv)  ← BLÅ</t>
  </si>
  <si>
    <t xml:space="preserve">Snitt omsetning per solgt  ← BLÅ</t>
  </si>
  <si>
    <t xml:space="preserve">Close rate oppdrag → solgt  ← BLÅ</t>
  </si>
  <si>
    <t xml:space="preserve">Kryss-pipeline gjør faktisk rate usikker — juster. Default 60%.</t>
  </si>
  <si>
    <t xml:space="preserve">Antall solgt nødvendig</t>
  </si>
  <si>
    <t xml:space="preserve">Oppdrag inn nødvendig</t>
  </si>
  <si>
    <t xml:space="preserve">Hver utløser markedskost uansett om båten selges.</t>
  </si>
  <si>
    <t xml:space="preserve">Befaringer nødvendig</t>
  </si>
  <si>
    <t xml:space="preserve">Pipeline A-deals nødvendig</t>
  </si>
  <si>
    <t xml:space="preserve">FSBO-calls nødvendig (per år)</t>
  </si>
  <si>
    <t xml:space="preserve">Sindre: inbound, ikke call-drevet.</t>
  </si>
  <si>
    <t xml:space="preserve">Til samm.: dagens calls (annualisert)</t>
  </si>
  <si>
    <t xml:space="preserve">4) DATAFORBEHOLD</t>
  </si>
  <si>
    <t xml:space="preserve">• Befaring logges nesten ikke som aktivitet → «Valuation»-steget brukes. Vil du ha ekte befaring-tall, må logge-disiplin opp.</t>
  </si>
  <si>
    <t xml:space="preserve">• Acquisition-pipen og Marte er begge 2026 → «siste 12 mnd» ≈ «2026 YTD» her. Eldre oppdrag (solgt-tallet) ligger i gammel pipe.</t>
  </si>
  <si>
    <t xml:space="preserve">• Signert (ny pipe) &lt; solgt (inkl. gammel pipe) → signert→solgt-rate kan ikke leses rett av; derfor egen «close rate»-input.</t>
  </si>
  <si>
    <t xml:space="preserve">• Syklustid (lead→salg) er ikke trukket ut ennå (krever stegdato-historikk). Legg til ~3–5 mnd lag når du planlegger.</t>
  </si>
  <si>
    <t xml:space="preserve">• Små tall (11–36 per megler) → bruk som retning, ikke fasit.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</si>
</sst>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%"/>
    <numFmt numFmtId="166" formatCode="0.00\x"/>
    <numFmt numFmtId="167" formatCode="#,##0;\(#,##0\);\-"/>
    <numFmt numFmtId="168" formatCode="0"/>
    <numFmt numFmtId="169" formatCode="0.0"/>
    <numFmt numFmtId="170" formatCode="yyyy\-mm\-dd"/>
    <numFmt numFmtId="171" formatCode="#,##0;\(#,##0\);\-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A5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1F3A5F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1F3A5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D9E1F2"/>
        <bgColor rgb="FFDDEBF7"/>
      </patternFill>
    </fill>
    <fill>
      <patternFill patternType="solid">
        <fgColor rgb="FF1F3A5F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E2EFDA"/>
      </patternFill>
    </fill>
    <fill>
      <patternFill patternType="solid">
        <fgColor rgb="FFDDEBF7"/>
        <bgColor rgb="FFD9E1F2"/>
      </patternFill>
    </fill>
    <fill>
      <patternFill patternType="solid">
        <fgColor rgb="FFE2EFDA"/>
        <bgColor rgb="FFDDEBF7"/>
      </patternFill>
    </fill>
    <fill>
      <patternFill patternType="solid">
        <fgColor rgb="FFFFFFFF"/>
        <bgColor rgb="FFF2F2F2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1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9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17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1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9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08"/>
  </cols>
  <sheetData>
    <row r="2" customFormat="false" ht="18" hidden="false" customHeight="true" outlineLevel="0" collapsed="false">
      <c r="B2" s="2" t="s">
        <v>0</v>
      </c>
    </row>
    <row r="3" customFormat="false" ht="27.75" hidden="false" customHeight="true" outlineLevel="0" collapsed="false">
      <c r="B3" s="3" t="s">
        <v>1</v>
      </c>
    </row>
    <row r="5" customFormat="false" ht="15" hidden="false" customHeight="true" outlineLevel="0" collapsed="false">
      <c r="B5" s="4"/>
    </row>
    <row r="6" customFormat="false" ht="15" hidden="false" customHeight="true" outlineLevel="0" collapsed="false">
      <c r="B6" s="5" t="s">
        <v>2</v>
      </c>
    </row>
    <row r="7" customFormat="false" ht="27.75" hidden="false" customHeight="true" outlineLevel="0" collapsed="false">
      <c r="B7" s="4" t="s">
        <v>3</v>
      </c>
    </row>
    <row r="8" customFormat="false" ht="15" hidden="false" customHeight="true" outlineLevel="0" collapsed="false">
      <c r="B8" s="4" t="s">
        <v>4</v>
      </c>
    </row>
    <row r="9" customFormat="false" ht="27.75" hidden="false" customHeight="true" outlineLevel="0" collapsed="false">
      <c r="B9" s="4" t="s">
        <v>5</v>
      </c>
    </row>
    <row r="10" customFormat="false" ht="27.75" hidden="false" customHeight="true" outlineLevel="0" collapsed="false">
      <c r="B10" s="4" t="s">
        <v>6</v>
      </c>
    </row>
    <row r="11" customFormat="false" ht="15" hidden="false" customHeight="true" outlineLevel="0" collapsed="false">
      <c r="B11" s="4"/>
    </row>
    <row r="12" customFormat="false" ht="15" hidden="false" customHeight="true" outlineLevel="0" collapsed="false">
      <c r="B12" s="5" t="s">
        <v>7</v>
      </c>
    </row>
    <row r="13" customFormat="false" ht="55.5" hidden="false" customHeight="true" outlineLevel="0" collapsed="false">
      <c r="B13" s="4" t="s">
        <v>8</v>
      </c>
    </row>
    <row r="14" customFormat="false" ht="55.5" hidden="false" customHeight="true" outlineLevel="0" collapsed="false">
      <c r="B14" s="4" t="s">
        <v>9</v>
      </c>
    </row>
    <row r="15" customFormat="false" ht="69.75" hidden="false" customHeight="true" outlineLevel="0" collapsed="false">
      <c r="B15" s="4" t="s">
        <v>10</v>
      </c>
    </row>
    <row r="16" customFormat="false" ht="42" hidden="false" customHeight="true" outlineLevel="0" collapsed="false">
      <c r="B16" s="4" t="s">
        <v>11</v>
      </c>
    </row>
    <row r="17" customFormat="false" ht="55.5" hidden="false" customHeight="true" outlineLevel="0" collapsed="false">
      <c r="B17" s="4" t="s">
        <v>12</v>
      </c>
    </row>
    <row r="18" customFormat="false" ht="15" hidden="false" customHeight="true" outlineLevel="0" collapsed="false">
      <c r="B18" s="4"/>
    </row>
    <row r="19" customFormat="false" ht="15" hidden="false" customHeight="true" outlineLevel="0" collapsed="false">
      <c r="B19" s="5" t="s">
        <v>13</v>
      </c>
    </row>
    <row r="20" customFormat="false" ht="27.75" hidden="false" customHeight="true" outlineLevel="0" collapsed="false">
      <c r="B20" s="4" t="s">
        <v>14</v>
      </c>
    </row>
    <row r="21" customFormat="false" ht="27.75" hidden="false" customHeight="true" outlineLevel="0" collapsed="false">
      <c r="B21" s="4" t="s">
        <v>15</v>
      </c>
    </row>
    <row r="22" customFormat="false" ht="27.75" hidden="false" customHeight="true" outlineLevel="0" collapsed="false">
      <c r="B22" s="4" t="s">
        <v>16</v>
      </c>
    </row>
    <row r="23" customFormat="false" ht="15" hidden="false" customHeight="true" outlineLevel="0" collapsed="false">
      <c r="B23" s="4"/>
    </row>
    <row r="24" customFormat="false" ht="15" hidden="false" customHeight="true" outlineLevel="0" collapsed="false">
      <c r="B24" s="5" t="s">
        <v>17</v>
      </c>
    </row>
    <row r="25" customFormat="false" ht="69.75" hidden="false" customHeight="true" outlineLevel="0" collapsed="false">
      <c r="B25" s="4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6"/>
    <col collapsed="false" customWidth="true" hidden="false" outlineLevel="0" max="3" min="3" style="1" width="60"/>
  </cols>
  <sheetData>
    <row r="1" customFormat="false" ht="21.75" hidden="false" customHeight="true" outlineLevel="0" collapsed="false">
      <c r="A1" s="6" t="s">
        <v>19</v>
      </c>
      <c r="B1" s="6"/>
      <c r="C1" s="6"/>
    </row>
    <row r="3" customFormat="false" ht="15" hidden="false" customHeight="true" outlineLevel="0" collapsed="false">
      <c r="A3" s="7" t="s">
        <v>20</v>
      </c>
      <c r="B3" s="7"/>
      <c r="C3" s="7"/>
    </row>
    <row r="4" customFormat="false" ht="15" hidden="false" customHeight="true" outlineLevel="0" collapsed="false">
      <c r="A4" s="8" t="s">
        <v>21</v>
      </c>
      <c r="B4" s="9" t="n">
        <v>0.45</v>
      </c>
      <c r="C4" s="10" t="s">
        <v>22</v>
      </c>
    </row>
    <row r="5" customFormat="false" ht="15" hidden="false" customHeight="true" outlineLevel="0" collapsed="false">
      <c r="A5" s="8" t="s">
        <v>23</v>
      </c>
      <c r="B5" s="9" t="n">
        <v>0.4</v>
      </c>
    </row>
    <row r="6" customFormat="false" ht="15" hidden="false" customHeight="true" outlineLevel="0" collapsed="false">
      <c r="A6" s="8" t="s">
        <v>24</v>
      </c>
      <c r="B6" s="9" t="n">
        <v>0.4</v>
      </c>
    </row>
    <row r="7" customFormat="false" ht="15" hidden="false" customHeight="true" outlineLevel="0" collapsed="false">
      <c r="A7" s="8" t="s">
        <v>25</v>
      </c>
      <c r="B7" s="9" t="n">
        <v>0.4</v>
      </c>
    </row>
    <row r="8" customFormat="false" ht="21.75" hidden="false" customHeight="true" outlineLevel="0" collapsed="false">
      <c r="A8" s="8" t="s">
        <v>26</v>
      </c>
      <c r="B8" s="11" t="n">
        <v>1.3</v>
      </c>
      <c r="C8" s="10" t="s">
        <v>27</v>
      </c>
    </row>
    <row r="10" customFormat="false" ht="15" hidden="false" customHeight="true" outlineLevel="0" collapsed="false">
      <c r="A10" s="7" t="s">
        <v>28</v>
      </c>
      <c r="B10" s="7"/>
      <c r="C10" s="7"/>
    </row>
    <row r="11" customFormat="false" ht="21.75" hidden="false" customHeight="true" outlineLevel="0" collapsed="false">
      <c r="A11" s="8" t="s">
        <v>29</v>
      </c>
      <c r="B11" s="12" t="n">
        <v>4552</v>
      </c>
      <c r="C11" s="10" t="s">
        <v>30</v>
      </c>
    </row>
    <row r="12" customFormat="false" ht="15" hidden="false" customHeight="true" outlineLevel="0" collapsed="false">
      <c r="A12" s="8" t="s">
        <v>31</v>
      </c>
      <c r="B12" s="9" t="n">
        <v>0</v>
      </c>
      <c r="C12" s="10" t="s">
        <v>32</v>
      </c>
    </row>
    <row r="13" customFormat="false" ht="15" hidden="false" customHeight="true" outlineLevel="0" collapsed="false">
      <c r="A13" s="7" t="s">
        <v>33</v>
      </c>
      <c r="B13" s="7"/>
      <c r="C13" s="7"/>
    </row>
    <row r="14" customFormat="false" ht="15" hidden="false" customHeight="true" outlineLevel="0" collapsed="false">
      <c r="A14" s="8" t="s">
        <v>34</v>
      </c>
      <c r="B14" s="12" t="n">
        <v>1077000</v>
      </c>
      <c r="C14" s="10" t="s">
        <v>35</v>
      </c>
    </row>
    <row r="15" customFormat="false" ht="15" hidden="false" customHeight="true" outlineLevel="0" collapsed="false">
      <c r="A15" s="8" t="s">
        <v>36</v>
      </c>
      <c r="B15" s="12" t="n">
        <v>30000</v>
      </c>
      <c r="C15" s="10" t="s">
        <v>37</v>
      </c>
    </row>
    <row r="16" customFormat="false" ht="21.75" hidden="false" customHeight="true" outlineLevel="0" collapsed="false">
      <c r="A16" s="8" t="s">
        <v>38</v>
      </c>
      <c r="B16" s="12" t="n">
        <v>228000</v>
      </c>
      <c r="C16" s="10" t="s">
        <v>39</v>
      </c>
    </row>
    <row r="17" customFormat="false" ht="15" hidden="false" customHeight="true" outlineLevel="0" collapsed="false">
      <c r="A17" s="8" t="s">
        <v>40</v>
      </c>
      <c r="B17" s="12" t="n">
        <v>-21000</v>
      </c>
      <c r="C17" s="10" t="s">
        <v>41</v>
      </c>
    </row>
    <row r="18" customFormat="false" ht="32.25" hidden="false" customHeight="true" outlineLevel="0" collapsed="false">
      <c r="A18" s="8" t="s">
        <v>42</v>
      </c>
      <c r="B18" s="12" t="n">
        <v>200000</v>
      </c>
      <c r="C18" s="10" t="s">
        <v>43</v>
      </c>
    </row>
    <row r="19" customFormat="false" ht="15" hidden="false" customHeight="true" outlineLevel="0" collapsed="false">
      <c r="A19" s="7" t="s">
        <v>44</v>
      </c>
      <c r="B19" s="7"/>
      <c r="C19" s="7"/>
    </row>
    <row r="20" customFormat="false" ht="15" hidden="false" customHeight="true" outlineLevel="0" collapsed="false">
      <c r="A20" s="8" t="s">
        <v>45</v>
      </c>
      <c r="B20" s="13" t="n">
        <v>1</v>
      </c>
      <c r="C20" s="10" t="s">
        <v>46</v>
      </c>
    </row>
    <row r="21" customFormat="false" ht="15" hidden="false" customHeight="true" outlineLevel="0" collapsed="false">
      <c r="A21" s="8" t="s">
        <v>47</v>
      </c>
      <c r="B21" s="12" t="n">
        <v>575000</v>
      </c>
      <c r="C21" s="10" t="s">
        <v>48</v>
      </c>
    </row>
    <row r="22" customFormat="false" ht="15" hidden="false" customHeight="true" outlineLevel="0" collapsed="false">
      <c r="A22" s="8" t="s">
        <v>49</v>
      </c>
      <c r="B22" s="12" t="n">
        <v>385000</v>
      </c>
      <c r="C22" s="10" t="s">
        <v>50</v>
      </c>
    </row>
    <row r="23" customFormat="false" ht="15" hidden="false" customHeight="true" outlineLevel="0" collapsed="false">
      <c r="A23" s="8" t="s">
        <v>51</v>
      </c>
      <c r="B23" s="9" t="n">
        <v>0.04</v>
      </c>
      <c r="C23" s="10" t="s">
        <v>52</v>
      </c>
    </row>
    <row r="25" customFormat="false" ht="15" hidden="false" customHeight="true" outlineLevel="0" collapsed="false">
      <c r="A25" s="7" t="s">
        <v>53</v>
      </c>
      <c r="B25" s="7"/>
      <c r="C25" s="7"/>
    </row>
    <row r="26" customFormat="false" ht="15" hidden="false" customHeight="true" outlineLevel="0" collapsed="false">
      <c r="A26" s="8" t="s">
        <v>54</v>
      </c>
      <c r="B26" s="9" t="n">
        <v>0.454</v>
      </c>
      <c r="C26" s="10" t="s">
        <v>55</v>
      </c>
    </row>
    <row r="27" customFormat="false" ht="15" hidden="false" customHeight="true" outlineLevel="0" collapsed="false">
      <c r="A27" s="8" t="s">
        <v>56</v>
      </c>
      <c r="B27" s="9" t="n">
        <v>0.325</v>
      </c>
    </row>
    <row r="28" customFormat="false" ht="15" hidden="false" customHeight="true" outlineLevel="0" collapsed="false">
      <c r="A28" s="8" t="s">
        <v>57</v>
      </c>
      <c r="B28" s="9" t="n">
        <v>0.221</v>
      </c>
    </row>
    <row r="29" customFormat="false" ht="15" hidden="false" customHeight="true" outlineLevel="0" collapsed="false">
      <c r="A29" s="8" t="s">
        <v>58</v>
      </c>
      <c r="B29" s="9" t="n">
        <v>0</v>
      </c>
    </row>
    <row r="30" customFormat="false" ht="15" hidden="false" customHeight="true" outlineLevel="0" collapsed="false">
      <c r="A30" s="14" t="s">
        <v>59</v>
      </c>
      <c r="B30" s="15" t="n">
        <f aca="false">SUM(B26:B29)</f>
        <v>1</v>
      </c>
    </row>
    <row r="32" customFormat="false" ht="15" hidden="false" customHeight="true" outlineLevel="0" collapsed="false">
      <c r="A32" s="7" t="s">
        <v>60</v>
      </c>
      <c r="B32" s="7"/>
      <c r="C32" s="7"/>
    </row>
    <row r="33" customFormat="false" ht="15" hidden="false" customHeight="true" outlineLevel="0" collapsed="false">
      <c r="A33" s="8" t="s">
        <v>61</v>
      </c>
      <c r="B33" s="12" t="n">
        <v>64767</v>
      </c>
      <c r="C33" s="10" t="s">
        <v>62</v>
      </c>
    </row>
  </sheetData>
  <mergeCells count="7">
    <mergeCell ref="A1:C1"/>
    <mergeCell ref="A3:C3"/>
    <mergeCell ref="A10:C10"/>
    <mergeCell ref="A13:C13"/>
    <mergeCell ref="A19:C19"/>
    <mergeCell ref="A25:C25"/>
    <mergeCell ref="A32:C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16"/>
    <col collapsed="false" customWidth="true" hidden="false" outlineLevel="0" max="5" min="5" style="1" width="12"/>
    <col collapsed="false" customWidth="true" hidden="false" outlineLevel="0" max="6" min="6" style="1" width="15"/>
    <col collapsed="false" customWidth="true" hidden="false" outlineLevel="0" max="7" min="7" style="1" width="3"/>
    <col collapsed="false" customWidth="true" hidden="false" outlineLevel="0" max="8" min="8" style="1" width="42"/>
    <col collapsed="false" customWidth="true" hidden="false" outlineLevel="0" max="9" min="9" style="1" width="16"/>
  </cols>
  <sheetData>
    <row r="1" customFormat="false" ht="21.75" hidden="false" customHeight="true" outlineLevel="0" collapsed="false">
      <c r="A1" s="6" t="s">
        <v>63</v>
      </c>
      <c r="B1" s="6"/>
      <c r="C1" s="6"/>
      <c r="D1" s="6"/>
      <c r="E1" s="6"/>
      <c r="F1" s="6"/>
    </row>
    <row r="3" customFormat="false" ht="31.5" hidden="false" customHeight="true" outlineLevel="0" collapsed="false">
      <c r="A3" s="16" t="s">
        <v>64</v>
      </c>
      <c r="B3" s="16" t="s">
        <v>65</v>
      </c>
      <c r="C3" s="16" t="s">
        <v>66</v>
      </c>
      <c r="D3" s="16" t="s">
        <v>67</v>
      </c>
      <c r="E3" s="16" t="s">
        <v>68</v>
      </c>
      <c r="F3" s="16" t="s">
        <v>69</v>
      </c>
      <c r="H3" s="17" t="s">
        <v>70</v>
      </c>
      <c r="I3" s="17"/>
    </row>
    <row r="4" customFormat="false" ht="15" hidden="false" customHeight="true" outlineLevel="0" collapsed="false">
      <c r="A4" s="18" t="s">
        <v>71</v>
      </c>
      <c r="B4" s="19" t="n">
        <v>1968000</v>
      </c>
      <c r="C4" s="20" t="n">
        <f aca="false">Forutsetninger!$B$4</f>
        <v>0.45</v>
      </c>
      <c r="D4" s="21" t="n">
        <f aca="false">B4*C4*Forutsetninger!$B$8</f>
        <v>1151280</v>
      </c>
      <c r="E4" s="22" t="n">
        <v>40</v>
      </c>
      <c r="F4" s="21" t="n">
        <f aca="false">E4*Forutsetninger!$B$11</f>
        <v>182080</v>
      </c>
      <c r="H4" s="18" t="s">
        <v>72</v>
      </c>
      <c r="I4" s="21" t="n">
        <f aca="false">B8</f>
        <v>4333000</v>
      </c>
    </row>
    <row r="5" customFormat="false" ht="15" hidden="false" customHeight="true" outlineLevel="0" collapsed="false">
      <c r="A5" s="18" t="s">
        <v>73</v>
      </c>
      <c r="B5" s="19" t="n">
        <v>1407000</v>
      </c>
      <c r="C5" s="20" t="n">
        <f aca="false">Forutsetninger!$B$5</f>
        <v>0.4</v>
      </c>
      <c r="D5" s="21" t="n">
        <f aca="false">B5*C5*Forutsetninger!$B$8</f>
        <v>731640</v>
      </c>
      <c r="E5" s="22" t="n">
        <v>35</v>
      </c>
      <c r="F5" s="21" t="n">
        <f aca="false">E5*Forutsetninger!$B$11</f>
        <v>159320</v>
      </c>
      <c r="H5" s="18" t="s">
        <v>74</v>
      </c>
      <c r="I5" s="21" t="n">
        <f aca="false">-D8</f>
        <v>-2381080</v>
      </c>
    </row>
    <row r="6" customFormat="false" ht="15" hidden="false" customHeight="true" outlineLevel="0" collapsed="false">
      <c r="A6" s="18" t="s">
        <v>75</v>
      </c>
      <c r="B6" s="19" t="n">
        <v>958000</v>
      </c>
      <c r="C6" s="20" t="n">
        <f aca="false">Forutsetninger!$B$6</f>
        <v>0.4</v>
      </c>
      <c r="D6" s="21" t="n">
        <f aca="false">B6*C6*Forutsetninger!$B$8</f>
        <v>498160</v>
      </c>
      <c r="E6" s="22" t="n">
        <v>25</v>
      </c>
      <c r="F6" s="21" t="n">
        <f aca="false">E6*Forutsetninger!$B$11</f>
        <v>113800</v>
      </c>
      <c r="H6" s="18" t="s">
        <v>76</v>
      </c>
      <c r="I6" s="21" t="n">
        <f aca="false">-Forutsetninger!$B$12*B8</f>
        <v>-0</v>
      </c>
    </row>
    <row r="7" customFormat="false" ht="15" hidden="false" customHeight="true" outlineLevel="0" collapsed="false">
      <c r="A7" s="18" t="s">
        <v>77</v>
      </c>
      <c r="B7" s="19" t="n">
        <v>0</v>
      </c>
      <c r="C7" s="20" t="n">
        <f aca="false">Forutsetninger!$B$7</f>
        <v>0.4</v>
      </c>
      <c r="D7" s="21" t="n">
        <f aca="false">B7*C7*Forutsetninger!$B$8</f>
        <v>0</v>
      </c>
      <c r="E7" s="22" t="n">
        <v>0</v>
      </c>
      <c r="F7" s="21" t="n">
        <f aca="false">E7*Forutsetninger!$B$11</f>
        <v>0</v>
      </c>
      <c r="H7" s="18" t="s">
        <v>78</v>
      </c>
      <c r="I7" s="21" t="n">
        <f aca="false">-F8</f>
        <v>-455200</v>
      </c>
    </row>
    <row r="8" customFormat="false" ht="15" hidden="false" customHeight="true" outlineLevel="0" collapsed="false">
      <c r="A8" s="23" t="s">
        <v>79</v>
      </c>
      <c r="B8" s="24" t="n">
        <f aca="false">SUM(B4:B7)</f>
        <v>4333000</v>
      </c>
      <c r="C8" s="25"/>
      <c r="D8" s="24" t="n">
        <f aca="false">SUM(D4:D7)</f>
        <v>2381080</v>
      </c>
      <c r="E8" s="26" t="n">
        <f aca="false">SUM(E4:E7)</f>
        <v>100</v>
      </c>
      <c r="F8" s="24" t="n">
        <f aca="false">SUM(F4:F7)</f>
        <v>455200</v>
      </c>
      <c r="H8" s="18" t="s">
        <v>80</v>
      </c>
      <c r="I8" s="21" t="n">
        <f aca="false">-Forutsetninger!$B$20*Forutsetninger!$B$23*B5</f>
        <v>-56280</v>
      </c>
    </row>
    <row r="9" customFormat="false" ht="15" hidden="false" customHeight="true" outlineLevel="0" collapsed="false">
      <c r="H9" s="23" t="s">
        <v>81</v>
      </c>
      <c r="I9" s="24" t="n">
        <f aca="false">SUM(I4:I8)</f>
        <v>1440440</v>
      </c>
    </row>
    <row r="10" customFormat="false" ht="15" hidden="false" customHeight="true" outlineLevel="0" collapsed="false">
      <c r="A10" s="27" t="s">
        <v>82</v>
      </c>
      <c r="B10" s="27"/>
      <c r="C10" s="27"/>
      <c r="D10" s="27"/>
      <c r="E10" s="27"/>
      <c r="F10" s="27"/>
      <c r="H10" s="18" t="s">
        <v>83</v>
      </c>
      <c r="I10" s="21" t="n">
        <f aca="false">-Forutsetninger!$B$14</f>
        <v>-1077000</v>
      </c>
    </row>
    <row r="11" customFormat="false" ht="25.5" hidden="false" customHeight="true" outlineLevel="0" collapsed="false">
      <c r="A11" s="28" t="s">
        <v>84</v>
      </c>
      <c r="B11" s="28"/>
      <c r="C11" s="28"/>
      <c r="D11" s="28"/>
      <c r="E11" s="28"/>
      <c r="F11" s="28"/>
      <c r="H11" s="18" t="s">
        <v>85</v>
      </c>
      <c r="I11" s="21" t="n">
        <f aca="false">-Forutsetninger!$B$15</f>
        <v>-30000</v>
      </c>
    </row>
    <row r="12" customFormat="false" ht="15" hidden="false" customHeight="true" outlineLevel="0" collapsed="false">
      <c r="A12" s="28"/>
      <c r="B12" s="28"/>
      <c r="C12" s="28"/>
      <c r="D12" s="28"/>
      <c r="E12" s="28"/>
      <c r="F12" s="28"/>
      <c r="H12" s="18" t="s">
        <v>86</v>
      </c>
      <c r="I12" s="21" t="n">
        <f aca="false">-Forutsetninger!$B$16</f>
        <v>-228000</v>
      </c>
    </row>
    <row r="13" customFormat="false" ht="25.5" hidden="false" customHeight="true" outlineLevel="0" collapsed="false">
      <c r="A13" s="29" t="s">
        <v>87</v>
      </c>
      <c r="B13" s="29"/>
      <c r="C13" s="29"/>
      <c r="D13" s="29"/>
      <c r="E13" s="29"/>
      <c r="F13" s="29"/>
      <c r="H13" s="18" t="s">
        <v>88</v>
      </c>
      <c r="I13" s="21" t="n">
        <f aca="false">-Forutsetninger!$B$20*Forutsetninger!$B$21</f>
        <v>-575000</v>
      </c>
    </row>
    <row r="14" customFormat="false" ht="15" hidden="false" customHeight="true" outlineLevel="0" collapsed="false">
      <c r="A14" s="29"/>
      <c r="B14" s="29"/>
      <c r="C14" s="29"/>
      <c r="D14" s="29"/>
      <c r="E14" s="29"/>
      <c r="F14" s="29"/>
      <c r="H14" s="18" t="s">
        <v>89</v>
      </c>
      <c r="I14" s="21" t="n">
        <f aca="false">-Forutsetninger!$B$18</f>
        <v>-200000</v>
      </c>
    </row>
    <row r="15" customFormat="false" ht="15" hidden="false" customHeight="true" outlineLevel="0" collapsed="false">
      <c r="H15" s="18" t="s">
        <v>90</v>
      </c>
      <c r="I15" s="21" t="n">
        <f aca="false">Forutsetninger!$B$17</f>
        <v>-21000</v>
      </c>
    </row>
    <row r="16" customFormat="false" ht="15" hidden="false" customHeight="true" outlineLevel="0" collapsed="false">
      <c r="H16" s="30" t="s">
        <v>91</v>
      </c>
      <c r="I16" s="31" t="n">
        <f aca="false">I9+SUM(I10:I15)</f>
        <v>-690560</v>
      </c>
    </row>
    <row r="18" customFormat="false" ht="15" hidden="false" customHeight="true" outlineLevel="0" collapsed="false">
      <c r="H18" s="18" t="s">
        <v>92</v>
      </c>
      <c r="I18" s="32" t="n">
        <f aca="false">I9/B8</f>
        <v>0.332434802677129</v>
      </c>
    </row>
    <row r="19" customFormat="false" ht="15" hidden="false" customHeight="true" outlineLevel="0" collapsed="false">
      <c r="H19" s="18" t="s">
        <v>93</v>
      </c>
      <c r="I19" s="32" t="n">
        <f aca="false">I16/B8</f>
        <v>-0.15937225940457</v>
      </c>
    </row>
    <row r="20" customFormat="false" ht="15" hidden="false" customHeight="true" outlineLevel="0" collapsed="false">
      <c r="H20" s="27" t="s">
        <v>94</v>
      </c>
      <c r="I20" s="27"/>
    </row>
    <row r="21" customFormat="false" ht="15" hidden="false" customHeight="true" outlineLevel="0" collapsed="false">
      <c r="H21" s="27"/>
      <c r="I21" s="27"/>
    </row>
  </sheetData>
  <mergeCells count="6">
    <mergeCell ref="A1:F1"/>
    <mergeCell ref="H3:I3"/>
    <mergeCell ref="A10:F10"/>
    <mergeCell ref="A11:F12"/>
    <mergeCell ref="A13:F14"/>
    <mergeCell ref="H20:I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2"/>
    <col collapsed="false" customWidth="true" hidden="false" outlineLevel="0" max="6" min="2" style="1" width="15"/>
  </cols>
  <sheetData>
    <row r="1" customFormat="false" ht="21.75" hidden="false" customHeight="true" outlineLevel="0" collapsed="false">
      <c r="A1" s="6" t="s">
        <v>95</v>
      </c>
      <c r="B1" s="6"/>
      <c r="C1" s="6"/>
      <c r="D1" s="6"/>
      <c r="E1" s="6"/>
      <c r="F1" s="6"/>
    </row>
    <row r="2" customFormat="false" ht="25.5" hidden="false" customHeight="true" outlineLevel="0" collapsed="false">
      <c r="A2" s="27" t="s">
        <v>96</v>
      </c>
      <c r="B2" s="27"/>
      <c r="C2" s="27"/>
      <c r="D2" s="27"/>
      <c r="E2" s="27"/>
      <c r="F2" s="27"/>
    </row>
    <row r="4" customFormat="false" ht="15" hidden="false" customHeight="true" outlineLevel="0" collapsed="false">
      <c r="A4" s="17" t="s">
        <v>97</v>
      </c>
      <c r="B4" s="17"/>
      <c r="C4" s="17"/>
      <c r="D4" s="17"/>
      <c r="E4" s="17"/>
      <c r="F4" s="17"/>
    </row>
    <row r="5" customFormat="false" ht="15" hidden="false" customHeight="true" outlineLevel="0" collapsed="false">
      <c r="A5" s="8" t="s">
        <v>98</v>
      </c>
      <c r="B5" s="33" t="n">
        <f aca="false">Forutsetninger!$B$14</f>
        <v>1077000</v>
      </c>
    </row>
    <row r="6" customFormat="false" ht="15" hidden="false" customHeight="true" outlineLevel="0" collapsed="false">
      <c r="A6" s="8" t="s">
        <v>99</v>
      </c>
      <c r="B6" s="33" t="n">
        <f aca="false">Forutsetninger!$B$15</f>
        <v>30000</v>
      </c>
    </row>
    <row r="7" customFormat="false" ht="15" hidden="false" customHeight="true" outlineLevel="0" collapsed="false">
      <c r="A7" s="8" t="s">
        <v>100</v>
      </c>
      <c r="B7" s="33" t="n">
        <f aca="false">Forutsetninger!$B$16</f>
        <v>228000</v>
      </c>
    </row>
    <row r="8" customFormat="false" ht="15" hidden="false" customHeight="true" outlineLevel="0" collapsed="false">
      <c r="A8" s="8" t="s">
        <v>101</v>
      </c>
      <c r="B8" s="33" t="n">
        <f aca="false">Forutsetninger!$B$20*Forutsetninger!$B$21</f>
        <v>575000</v>
      </c>
    </row>
    <row r="9" customFormat="false" ht="15" hidden="false" customHeight="true" outlineLevel="0" collapsed="false">
      <c r="A9" s="8" t="s">
        <v>102</v>
      </c>
      <c r="B9" s="33" t="n">
        <f aca="false">Forutsetninger!$B$18</f>
        <v>200000</v>
      </c>
    </row>
    <row r="10" customFormat="false" ht="15" hidden="false" customHeight="true" outlineLevel="0" collapsed="false">
      <c r="A10" s="8" t="s">
        <v>103</v>
      </c>
      <c r="B10" s="33" t="n">
        <f aca="false">Forutsetninger!$B$17</f>
        <v>-21000</v>
      </c>
    </row>
    <row r="11" customFormat="false" ht="15" hidden="false" customHeight="true" outlineLevel="0" collapsed="false">
      <c r="A11" s="34" t="s">
        <v>104</v>
      </c>
      <c r="B11" s="24" t="n">
        <f aca="false">SUM(B5:B10)</f>
        <v>2089000</v>
      </c>
    </row>
    <row r="12" customFormat="false" ht="15" hidden="false" customHeight="true" outlineLevel="0" collapsed="false">
      <c r="A12" s="8" t="s">
        <v>105</v>
      </c>
      <c r="B12" s="35" t="n">
        <v>100</v>
      </c>
    </row>
    <row r="13" customFormat="false" ht="15" hidden="false" customHeight="true" outlineLevel="0" collapsed="false">
      <c r="A13" s="8" t="s">
        <v>106</v>
      </c>
      <c r="B13" s="33" t="n">
        <f aca="false">Forutsetninger!$B$11</f>
        <v>4552</v>
      </c>
    </row>
    <row r="14" customFormat="false" ht="15" hidden="false" customHeight="true" outlineLevel="0" collapsed="false">
      <c r="A14" s="34" t="s">
        <v>107</v>
      </c>
      <c r="B14" s="24" t="n">
        <f aca="false">B12*B13</f>
        <v>455200</v>
      </c>
    </row>
    <row r="15" customFormat="false" ht="15" hidden="false" customHeight="true" outlineLevel="0" collapsed="false">
      <c r="A15" s="36" t="s">
        <v>108</v>
      </c>
      <c r="B15" s="37" t="n">
        <f aca="false">B11+B14</f>
        <v>2544200</v>
      </c>
    </row>
    <row r="17" customFormat="false" ht="15" hidden="false" customHeight="true" outlineLevel="0" collapsed="false">
      <c r="A17" s="17" t="s">
        <v>109</v>
      </c>
      <c r="B17" s="17"/>
      <c r="C17" s="17"/>
      <c r="D17" s="17"/>
      <c r="E17" s="17"/>
      <c r="F17" s="17"/>
    </row>
    <row r="18" customFormat="false" ht="15" hidden="false" customHeight="true" outlineLevel="0" collapsed="false">
      <c r="A18" s="8" t="s">
        <v>110</v>
      </c>
      <c r="B18" s="38" t="n">
        <f aca="false">(Forutsetninger!$B$26*Forutsetninger!$B$4+Forutsetninger!$B$27*Forutsetninger!$B$5+Forutsetninger!$B$28*Forutsetninger!$B$6+Forutsetninger!$B$29*Forutsetninger!$B$7)*Forutsetninger!$B$8</f>
        <v>0.54951</v>
      </c>
    </row>
    <row r="19" customFormat="false" ht="15" hidden="false" customHeight="true" outlineLevel="0" collapsed="false">
      <c r="A19" s="8" t="s">
        <v>111</v>
      </c>
      <c r="B19" s="38" t="n">
        <f aca="false">Forutsetninger!$B$12</f>
        <v>0</v>
      </c>
    </row>
    <row r="20" customFormat="false" ht="15" hidden="false" customHeight="true" outlineLevel="0" collapsed="false">
      <c r="A20" s="36" t="s">
        <v>112</v>
      </c>
      <c r="B20" s="39" t="n">
        <f aca="false">1-B18-B19</f>
        <v>0.45049</v>
      </c>
    </row>
    <row r="22" customFormat="false" ht="15" hidden="false" customHeight="true" outlineLevel="0" collapsed="false">
      <c r="A22" s="17" t="s">
        <v>113</v>
      </c>
      <c r="B22" s="17"/>
      <c r="C22" s="17"/>
      <c r="D22" s="17"/>
      <c r="E22" s="17"/>
      <c r="F22" s="17"/>
    </row>
    <row r="23" customFormat="false" ht="15" hidden="false" customHeight="true" outlineLevel="0" collapsed="false">
      <c r="A23" s="36" t="s">
        <v>114</v>
      </c>
      <c r="B23" s="37" t="n">
        <f aca="false">B15/B20</f>
        <v>5647628.13824946</v>
      </c>
    </row>
    <row r="24" customFormat="false" ht="15" hidden="false" customHeight="true" outlineLevel="0" collapsed="false">
      <c r="A24" s="8" t="s">
        <v>115</v>
      </c>
      <c r="B24" s="40" t="n">
        <f aca="false">B23/Forutsetninger!$B$33</f>
        <v>87.1991622006495</v>
      </c>
    </row>
    <row r="25" customFormat="false" ht="15" hidden="false" customHeight="true" outlineLevel="0" collapsed="false">
      <c r="A25" s="8" t="s">
        <v>116</v>
      </c>
      <c r="B25" s="33" t="n">
        <f aca="false">B23*B18</f>
        <v>3103428.13824946</v>
      </c>
    </row>
    <row r="26" customFormat="false" ht="15" hidden="false" customHeight="true" outlineLevel="0" collapsed="false">
      <c r="A26" s="27" t="s">
        <v>117</v>
      </c>
      <c r="B26" s="27"/>
      <c r="C26" s="27"/>
      <c r="D26" s="27"/>
      <c r="E26" s="27"/>
      <c r="F26" s="27"/>
    </row>
    <row r="28" customFormat="false" ht="15" hidden="false" customHeight="true" outlineLevel="0" collapsed="false">
      <c r="A28" s="17" t="s">
        <v>118</v>
      </c>
      <c r="B28" s="17"/>
      <c r="C28" s="17"/>
      <c r="D28" s="17"/>
      <c r="E28" s="17"/>
      <c r="F28" s="17"/>
    </row>
    <row r="29" customFormat="false" ht="15" hidden="false" customHeight="true" outlineLevel="0" collapsed="false">
      <c r="A29" s="41" t="s">
        <v>119</v>
      </c>
      <c r="B29" s="42" t="n">
        <v>0</v>
      </c>
      <c r="C29" s="12" t="n">
        <v>500000</v>
      </c>
      <c r="D29" s="12" t="n">
        <v>1000000</v>
      </c>
      <c r="E29" s="12" t="n">
        <v>1500000</v>
      </c>
    </row>
    <row r="30" customFormat="false" ht="15" hidden="false" customHeight="true" outlineLevel="0" collapsed="false">
      <c r="A30" s="43" t="s">
        <v>120</v>
      </c>
      <c r="B30" s="44" t="n">
        <f aca="false">(B15+B29)/B20</f>
        <v>5647628.13824946</v>
      </c>
      <c r="C30" s="44" t="n">
        <f aca="false">(B15+C29)/B20</f>
        <v>6757530.68880553</v>
      </c>
      <c r="D30" s="44" t="n">
        <f aca="false">(B15+D29)/B20</f>
        <v>7867433.23936159</v>
      </c>
      <c r="E30" s="44" t="n">
        <f aca="false">(B15+E29)/B20</f>
        <v>8977335.78991765</v>
      </c>
    </row>
    <row r="31" customFormat="false" ht="15" hidden="false" customHeight="true" outlineLevel="0" collapsed="false">
      <c r="A31" s="18" t="s">
        <v>121</v>
      </c>
      <c r="B31" s="21" t="n">
        <f aca="false">B30*Forutsetninger!$B$26</f>
        <v>2564023.17476526</v>
      </c>
      <c r="C31" s="21" t="n">
        <f aca="false">C30*Forutsetninger!$B$26</f>
        <v>3067918.93271771</v>
      </c>
      <c r="D31" s="21" t="n">
        <f aca="false">D30*Forutsetninger!$B$26</f>
        <v>3571814.69067016</v>
      </c>
      <c r="E31" s="21" t="n">
        <f aca="false">E30*Forutsetninger!$B$26</f>
        <v>4075710.44862261</v>
      </c>
    </row>
    <row r="32" customFormat="false" ht="15" hidden="false" customHeight="true" outlineLevel="0" collapsed="false">
      <c r="A32" s="18" t="s">
        <v>122</v>
      </c>
      <c r="B32" s="21" t="n">
        <f aca="false">B30*Forutsetninger!$B$27</f>
        <v>1835479.14493108</v>
      </c>
      <c r="C32" s="21" t="n">
        <f aca="false">C30*Forutsetninger!$B$27</f>
        <v>2196197.4738618</v>
      </c>
      <c r="D32" s="21" t="n">
        <f aca="false">D30*Forutsetninger!$B$27</f>
        <v>2556915.80279252</v>
      </c>
      <c r="E32" s="21" t="n">
        <f aca="false">E30*Forutsetninger!$B$27</f>
        <v>2917634.13172324</v>
      </c>
    </row>
    <row r="33" customFormat="false" ht="15" hidden="false" customHeight="true" outlineLevel="0" collapsed="false">
      <c r="A33" s="18" t="s">
        <v>123</v>
      </c>
      <c r="B33" s="21" t="n">
        <f aca="false">B30*Forutsetninger!$B$28</f>
        <v>1248125.81855313</v>
      </c>
      <c r="C33" s="21" t="n">
        <f aca="false">C30*Forutsetninger!$B$28</f>
        <v>1493414.28222602</v>
      </c>
      <c r="D33" s="21" t="n">
        <f aca="false">D30*Forutsetninger!$B$28</f>
        <v>1738702.74589891</v>
      </c>
      <c r="E33" s="21" t="n">
        <f aca="false">E30*Forutsetninger!$B$28</f>
        <v>1983991.2095718</v>
      </c>
    </row>
    <row r="34" customFormat="false" ht="15" hidden="false" customHeight="true" outlineLevel="0" collapsed="false">
      <c r="A34" s="18" t="s">
        <v>124</v>
      </c>
      <c r="B34" s="21" t="n">
        <f aca="false">B30*Forutsetninger!$B$29</f>
        <v>0</v>
      </c>
      <c r="C34" s="21" t="n">
        <f aca="false">C30*Forutsetninger!$B$29</f>
        <v>0</v>
      </c>
      <c r="D34" s="21" t="n">
        <f aca="false">D30*Forutsetninger!$B$29</f>
        <v>0</v>
      </c>
      <c r="E34" s="21" t="n">
        <f aca="false">E30*Forutsetninger!$B$29</f>
        <v>0</v>
      </c>
    </row>
    <row r="35" customFormat="false" ht="15" hidden="false" customHeight="true" outlineLevel="0" collapsed="false">
      <c r="A35" s="18" t="s">
        <v>115</v>
      </c>
      <c r="B35" s="45" t="n">
        <f aca="false">B30/Forutsetninger!$B$33</f>
        <v>87.1991622006495</v>
      </c>
      <c r="C35" s="45" t="n">
        <f aca="false">C30/Forutsetninger!$B$33</f>
        <v>104.33601508184</v>
      </c>
      <c r="D35" s="45" t="n">
        <f aca="false">D30/Forutsetninger!$B$33</f>
        <v>121.47286796303</v>
      </c>
      <c r="E35" s="45" t="n">
        <f aca="false">E30/Forutsetninger!$B$33</f>
        <v>138.609720844221</v>
      </c>
    </row>
    <row r="36" customFormat="false" ht="15" hidden="false" customHeight="true" outlineLevel="0" collapsed="false">
      <c r="A36" s="43" t="s">
        <v>125</v>
      </c>
      <c r="B36" s="44" t="n">
        <f aca="false">B30*B20-B15</f>
        <v>0</v>
      </c>
      <c r="C36" s="44" t="n">
        <f aca="false">C30*B20-B15</f>
        <v>500000</v>
      </c>
      <c r="D36" s="44" t="n">
        <f aca="false">D30*B20-B15</f>
        <v>1000000</v>
      </c>
      <c r="E36" s="44" t="n">
        <f aca="false">E30*B20-B15</f>
        <v>1500000</v>
      </c>
    </row>
    <row r="38" customFormat="false" ht="15" hidden="false" customHeight="true" outlineLevel="0" collapsed="false">
      <c r="A38" s="17" t="s">
        <v>126</v>
      </c>
      <c r="B38" s="17"/>
      <c r="C38" s="17"/>
      <c r="D38" s="17"/>
      <c r="E38" s="17"/>
      <c r="F38" s="17"/>
    </row>
    <row r="39" customFormat="false" ht="15" hidden="false" customHeight="true" outlineLevel="0" collapsed="false">
      <c r="A39" s="41" t="s">
        <v>127</v>
      </c>
      <c r="B39" s="46" t="n">
        <v>60</v>
      </c>
      <c r="C39" s="46" t="n">
        <v>80</v>
      </c>
      <c r="D39" s="46" t="n">
        <v>100</v>
      </c>
      <c r="E39" s="46" t="n">
        <v>120</v>
      </c>
    </row>
    <row r="40" customFormat="false" ht="15" hidden="false" customHeight="true" outlineLevel="0" collapsed="false">
      <c r="A40" s="18" t="s">
        <v>128</v>
      </c>
      <c r="B40" s="21" t="n">
        <f aca="false">B39*Forutsetninger!$B$11</f>
        <v>273120</v>
      </c>
      <c r="C40" s="21" t="n">
        <f aca="false">C39*Forutsetninger!$B$11</f>
        <v>364160</v>
      </c>
      <c r="D40" s="21" t="n">
        <f aca="false">D39*Forutsetninger!$B$11</f>
        <v>455200</v>
      </c>
      <c r="E40" s="21" t="n">
        <f aca="false">E39*Forutsetninger!$B$11</f>
        <v>546240</v>
      </c>
    </row>
    <row r="41" customFormat="false" ht="15" hidden="false" customHeight="true" outlineLevel="0" collapsed="false">
      <c r="A41" s="18" t="s">
        <v>129</v>
      </c>
      <c r="B41" s="21" t="n">
        <f aca="false">Forutsetninger!$B$14+Forutsetninger!$B$15+Forutsetninger!$B$16+Forutsetninger!$B$20*Forutsetninger!$B$21+Forutsetninger!$B$18+Forutsetninger!$B$17+B39*Forutsetninger!$B$11</f>
        <v>2362120</v>
      </c>
      <c r="C41" s="21" t="n">
        <f aca="false">Forutsetninger!$B$14+Forutsetninger!$B$15+Forutsetninger!$B$16+Forutsetninger!$B$20*Forutsetninger!$B$21+Forutsetninger!$B$18+Forutsetninger!$B$17+C39*Forutsetninger!$B$11</f>
        <v>2453160</v>
      </c>
      <c r="D41" s="21" t="n">
        <f aca="false">Forutsetninger!$B$14+Forutsetninger!$B$15+Forutsetninger!$B$16+Forutsetninger!$B$20*Forutsetninger!$B$21+Forutsetninger!$B$18+Forutsetninger!$B$17+D39*Forutsetninger!$B$11</f>
        <v>2544200</v>
      </c>
      <c r="E41" s="21" t="n">
        <f aca="false">Forutsetninger!$B$14+Forutsetninger!$B$15+Forutsetninger!$B$16+Forutsetninger!$B$20*Forutsetninger!$B$21+Forutsetninger!$B$18+Forutsetninger!$B$17+E39*Forutsetninger!$B$11</f>
        <v>2635240</v>
      </c>
    </row>
    <row r="42" customFormat="false" ht="15" hidden="false" customHeight="true" outlineLevel="0" collapsed="false">
      <c r="A42" s="43" t="s">
        <v>130</v>
      </c>
      <c r="B42" s="44" t="n">
        <f aca="false">B41/B20</f>
        <v>5243446.02543897</v>
      </c>
      <c r="C42" s="44" t="n">
        <f aca="false">C41/B20</f>
        <v>5445537.08184422</v>
      </c>
      <c r="D42" s="44" t="n">
        <f aca="false">D41/B20</f>
        <v>5647628.13824946</v>
      </c>
      <c r="E42" s="44" t="n">
        <f aca="false">E41/B20</f>
        <v>5849719.19465471</v>
      </c>
    </row>
    <row r="43" customFormat="false" ht="15" hidden="false" customHeight="true" outlineLevel="0" collapsed="false">
      <c r="A43" s="7" t="s">
        <v>131</v>
      </c>
      <c r="B43" s="7"/>
      <c r="C43" s="7"/>
      <c r="D43" s="7"/>
      <c r="E43" s="7"/>
      <c r="F43" s="7"/>
    </row>
    <row r="44" customFormat="false" ht="15" hidden="false" customHeight="true" outlineLevel="0" collapsed="false">
      <c r="A44" s="8" t="s">
        <v>132</v>
      </c>
      <c r="B44" s="21" t="n">
        <v>4857517</v>
      </c>
    </row>
    <row r="45" customFormat="false" ht="15" hidden="false" customHeight="true" outlineLevel="0" collapsed="false">
      <c r="A45" s="8" t="s">
        <v>133</v>
      </c>
      <c r="B45" s="21" t="n">
        <v>1982200</v>
      </c>
    </row>
    <row r="46" customFormat="false" ht="15" hidden="false" customHeight="true" outlineLevel="0" collapsed="false">
      <c r="A46" s="8" t="s">
        <v>134</v>
      </c>
      <c r="B46" s="21" t="n">
        <v>4332353</v>
      </c>
    </row>
    <row r="47" customFormat="false" ht="15" hidden="false" customHeight="true" outlineLevel="0" collapsed="false">
      <c r="A47" s="8" t="s">
        <v>135</v>
      </c>
      <c r="B47" s="21" t="n">
        <v>5000000</v>
      </c>
    </row>
    <row r="49" customFormat="false" ht="15" hidden="false" customHeight="true" outlineLevel="0" collapsed="false">
      <c r="A49" s="17" t="s">
        <v>136</v>
      </c>
      <c r="B49" s="17"/>
      <c r="C49" s="17"/>
      <c r="D49" s="17"/>
      <c r="E49" s="17"/>
      <c r="F49" s="17"/>
    </row>
    <row r="50" customFormat="false" ht="15" hidden="false" customHeight="true" outlineLevel="0" collapsed="false">
      <c r="A50" s="18" t="s">
        <v>137</v>
      </c>
      <c r="B50" s="21" t="n">
        <f aca="false">B15/B20</f>
        <v>5647628.13824946</v>
      </c>
    </row>
    <row r="51" customFormat="false" ht="15" hidden="false" customHeight="true" outlineLevel="0" collapsed="false">
      <c r="A51" s="18" t="s">
        <v>138</v>
      </c>
      <c r="B51" s="21" t="n">
        <f aca="false">(B15-Forutsetninger!$B$16)/B20</f>
        <v>5141512.5751959</v>
      </c>
    </row>
    <row r="52" customFormat="false" ht="15" hidden="false" customHeight="true" outlineLevel="0" collapsed="false">
      <c r="A52" s="18" t="s">
        <v>139</v>
      </c>
      <c r="B52" s="21" t="n">
        <f aca="false">(B15-Forutsetninger!$B$20*Forutsetninger!$B$21)/B20</f>
        <v>4371240.20510999</v>
      </c>
    </row>
    <row r="53" customFormat="false" ht="15" hidden="false" customHeight="true" outlineLevel="0" collapsed="false">
      <c r="A53" s="18" t="s">
        <v>140</v>
      </c>
      <c r="B53" s="21" t="n">
        <f aca="false">(B15-Forutsetninger!$B$18)/B20</f>
        <v>5203667.11802704</v>
      </c>
    </row>
    <row r="54" customFormat="false" ht="15" hidden="false" customHeight="true" outlineLevel="0" collapsed="false">
      <c r="A54" s="18" t="s">
        <v>141</v>
      </c>
      <c r="B54" s="21" t="n">
        <f aca="false">B15/(1-(Forutsetninger!$B$26*Forutsetninger!$B$4/2+Forutsetninger!$B$27*Forutsetninger!$B$5+Forutsetninger!$B$28*Forutsetninger!$B$6+Forutsetninger!$B$29*Forutsetninger!$B$7)*Forutsetninger!$B$8-Forutsetninger!$B$12)</f>
        <v>4361847.12447603</v>
      </c>
    </row>
  </sheetData>
  <mergeCells count="10">
    <mergeCell ref="A1:F1"/>
    <mergeCell ref="A2:F2"/>
    <mergeCell ref="A4:F4"/>
    <mergeCell ref="A17:F17"/>
    <mergeCell ref="A22:F22"/>
    <mergeCell ref="A26:F26"/>
    <mergeCell ref="A28:F28"/>
    <mergeCell ref="A38:F38"/>
    <mergeCell ref="A43:F43"/>
    <mergeCell ref="A49:F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42"/>
    <col collapsed="false" customWidth="true" hidden="false" outlineLevel="0" max="3" min="3" style="1" width="12"/>
    <col collapsed="false" customWidth="true" hidden="false" outlineLevel="0" max="4" min="4" style="1" width="46"/>
    <col collapsed="false" customWidth="true" hidden="false" outlineLevel="0" max="8" min="5" style="1" width="14"/>
  </cols>
  <sheetData>
    <row r="1" customFormat="false" ht="21.75" hidden="false" customHeight="true" outlineLevel="0" collapsed="false">
      <c r="A1" s="6" t="s">
        <v>142</v>
      </c>
      <c r="B1" s="6"/>
      <c r="C1" s="6"/>
      <c r="D1" s="6"/>
      <c r="E1" s="6"/>
      <c r="F1" s="6"/>
      <c r="G1" s="6"/>
      <c r="H1" s="6"/>
    </row>
    <row r="3" customFormat="false" ht="30" hidden="false" customHeight="true" outlineLevel="0" collapsed="false">
      <c r="A3" s="16" t="s">
        <v>143</v>
      </c>
      <c r="B3" s="16" t="s">
        <v>144</v>
      </c>
      <c r="C3" s="16" t="s">
        <v>145</v>
      </c>
      <c r="D3" s="16" t="s">
        <v>146</v>
      </c>
      <c r="E3" s="16" t="s">
        <v>147</v>
      </c>
      <c r="F3" s="16" t="s">
        <v>148</v>
      </c>
      <c r="G3" s="16" t="s">
        <v>149</v>
      </c>
      <c r="H3" s="16" t="s">
        <v>150</v>
      </c>
    </row>
    <row r="4" customFormat="false" ht="15" hidden="false" customHeight="true" outlineLevel="0" collapsed="false">
      <c r="A4" s="47" t="s">
        <v>151</v>
      </c>
      <c r="B4" s="47" t="s">
        <v>152</v>
      </c>
      <c r="C4" s="48" t="s">
        <v>153</v>
      </c>
      <c r="D4" s="49" t="s">
        <v>154</v>
      </c>
      <c r="E4" s="50" t="n">
        <v>2027519</v>
      </c>
      <c r="F4" s="50" t="n">
        <v>945288</v>
      </c>
      <c r="G4" s="50" t="n">
        <f aca="false">F4/0.457534246575343</f>
        <v>2066048.62275449</v>
      </c>
      <c r="H4" s="50" t="n">
        <f aca="false">G4-E4</f>
        <v>38529.6227544888</v>
      </c>
    </row>
    <row r="5" customFormat="false" ht="15" hidden="false" customHeight="true" outlineLevel="0" collapsed="false">
      <c r="A5" s="47" t="s">
        <v>155</v>
      </c>
      <c r="B5" s="47" t="s">
        <v>156</v>
      </c>
      <c r="C5" s="48" t="s">
        <v>153</v>
      </c>
      <c r="D5" s="49" t="s">
        <v>156</v>
      </c>
      <c r="E5" s="50" t="n">
        <v>225210</v>
      </c>
      <c r="F5" s="50" t="n">
        <v>103859</v>
      </c>
      <c r="G5" s="50" t="n">
        <f aca="false">F5/0.457534246575343</f>
        <v>226997.215568862</v>
      </c>
      <c r="H5" s="50" t="n">
        <f aca="false">G5-E5</f>
        <v>1787.21556886201</v>
      </c>
    </row>
    <row r="6" customFormat="false" ht="15" hidden="false" customHeight="true" outlineLevel="0" collapsed="false">
      <c r="A6" s="47" t="s">
        <v>157</v>
      </c>
      <c r="B6" s="47" t="s">
        <v>158</v>
      </c>
      <c r="C6" s="48" t="s">
        <v>153</v>
      </c>
      <c r="D6" s="49" t="s">
        <v>158</v>
      </c>
      <c r="E6" s="50" t="n">
        <v>8624</v>
      </c>
      <c r="F6" s="50" t="n">
        <v>0</v>
      </c>
      <c r="G6" s="50" t="n">
        <f aca="false">F6/0.457534246575343</f>
        <v>0</v>
      </c>
      <c r="H6" s="50" t="n">
        <f aca="false">G6-E6</f>
        <v>-8624</v>
      </c>
    </row>
    <row r="7" customFormat="false" ht="15" hidden="false" customHeight="true" outlineLevel="0" collapsed="false">
      <c r="A7" s="47" t="s">
        <v>159</v>
      </c>
      <c r="B7" s="47" t="s">
        <v>160</v>
      </c>
      <c r="C7" s="48" t="s">
        <v>153</v>
      </c>
      <c r="D7" s="49" t="s">
        <v>160</v>
      </c>
      <c r="E7" s="50" t="n">
        <v>8784</v>
      </c>
      <c r="F7" s="50" t="n">
        <v>4392</v>
      </c>
      <c r="G7" s="50" t="n">
        <f aca="false">F7/0.457534246575343</f>
        <v>9599.28143712574</v>
      </c>
      <c r="H7" s="50" t="n">
        <f aca="false">G7-E7</f>
        <v>815.281437125737</v>
      </c>
    </row>
    <row r="8" customFormat="false" ht="15" hidden="false" customHeight="true" outlineLevel="0" collapsed="false">
      <c r="A8" s="47" t="s">
        <v>161</v>
      </c>
      <c r="B8" s="47" t="s">
        <v>162</v>
      </c>
      <c r="C8" s="48" t="s">
        <v>153</v>
      </c>
      <c r="D8" s="49" t="s">
        <v>163</v>
      </c>
      <c r="E8" s="50" t="n">
        <v>-17408</v>
      </c>
      <c r="F8" s="50" t="n">
        <v>-4392</v>
      </c>
      <c r="G8" s="50" t="n">
        <f aca="false">F8/0.457534246575343</f>
        <v>-9599.28143712574</v>
      </c>
      <c r="H8" s="50" t="n">
        <f aca="false">G8-E8</f>
        <v>7808.71856287426</v>
      </c>
    </row>
    <row r="9" customFormat="false" ht="15" hidden="false" customHeight="true" outlineLevel="0" collapsed="false">
      <c r="A9" s="47" t="s">
        <v>164</v>
      </c>
      <c r="B9" s="47" t="s">
        <v>165</v>
      </c>
      <c r="C9" s="48" t="s">
        <v>153</v>
      </c>
      <c r="D9" s="49" t="s">
        <v>166</v>
      </c>
      <c r="E9" s="50" t="n">
        <v>291036</v>
      </c>
      <c r="F9" s="50" t="n">
        <v>135268</v>
      </c>
      <c r="G9" s="50" t="n">
        <f aca="false">F9/0.457534246575343</f>
        <v>295645.628742515</v>
      </c>
      <c r="H9" s="50" t="n">
        <f aca="false">G9-E9</f>
        <v>4609.62874251464</v>
      </c>
    </row>
    <row r="10" customFormat="false" ht="15" hidden="false" customHeight="true" outlineLevel="0" collapsed="false">
      <c r="A10" s="47" t="s">
        <v>167</v>
      </c>
      <c r="B10" s="47" t="s">
        <v>168</v>
      </c>
      <c r="C10" s="48" t="s">
        <v>153</v>
      </c>
      <c r="D10" s="49" t="s">
        <v>169</v>
      </c>
      <c r="E10" s="50" t="n">
        <v>31755</v>
      </c>
      <c r="F10" s="50" t="n">
        <v>14644</v>
      </c>
      <c r="G10" s="50" t="n">
        <f aca="false">F10/0.457534246575343</f>
        <v>32006.3473053892</v>
      </c>
      <c r="H10" s="50" t="n">
        <f aca="false">G10-E10</f>
        <v>251.347305389187</v>
      </c>
    </row>
    <row r="11" customFormat="false" ht="15" hidden="false" customHeight="true" outlineLevel="0" collapsed="false">
      <c r="A11" s="47" t="s">
        <v>170</v>
      </c>
      <c r="B11" s="47" t="s">
        <v>171</v>
      </c>
      <c r="C11" s="48" t="s">
        <v>153</v>
      </c>
      <c r="D11" s="49" t="s">
        <v>172</v>
      </c>
      <c r="E11" s="50" t="n">
        <v>19160</v>
      </c>
      <c r="F11" s="50" t="n">
        <v>9666</v>
      </c>
      <c r="G11" s="50" t="n">
        <f aca="false">F11/0.457534246575343</f>
        <v>21126.2874251497</v>
      </c>
      <c r="H11" s="50" t="n">
        <f aca="false">G11-E11</f>
        <v>1966.28742514968</v>
      </c>
    </row>
    <row r="12" customFormat="false" ht="15" hidden="false" customHeight="true" outlineLevel="0" collapsed="false">
      <c r="A12" s="47" t="s">
        <v>173</v>
      </c>
      <c r="B12" s="47" t="s">
        <v>174</v>
      </c>
      <c r="C12" s="48" t="s">
        <v>153</v>
      </c>
      <c r="D12" s="49" t="s">
        <v>175</v>
      </c>
      <c r="E12" s="50" t="n">
        <v>6172</v>
      </c>
      <c r="F12" s="50" t="n">
        <v>3060</v>
      </c>
      <c r="G12" s="50" t="n">
        <f aca="false">F12/0.457534246575343</f>
        <v>6688.0239520958</v>
      </c>
      <c r="H12" s="50" t="n">
        <f aca="false">G12-E12</f>
        <v>516.023952095801</v>
      </c>
    </row>
    <row r="13" customFormat="false" ht="15" hidden="false" customHeight="true" outlineLevel="0" collapsed="false">
      <c r="A13" s="47" t="s">
        <v>176</v>
      </c>
      <c r="B13" s="47" t="s">
        <v>177</v>
      </c>
      <c r="C13" s="48" t="s">
        <v>153</v>
      </c>
      <c r="D13" s="49" t="s">
        <v>178</v>
      </c>
      <c r="E13" s="50" t="n">
        <v>51322</v>
      </c>
      <c r="F13" s="50" t="n">
        <v>18687</v>
      </c>
      <c r="G13" s="50" t="n">
        <f aca="false">F13/0.457534246575343</f>
        <v>40842.8443113772</v>
      </c>
      <c r="H13" s="50" t="n">
        <f aca="false">G13-E13</f>
        <v>-10479.1556886228</v>
      </c>
    </row>
    <row r="14" customFormat="false" ht="15" hidden="false" customHeight="true" outlineLevel="0" collapsed="false">
      <c r="A14" s="47" t="s">
        <v>179</v>
      </c>
      <c r="B14" s="47" t="s">
        <v>180</v>
      </c>
      <c r="C14" s="51" t="s">
        <v>181</v>
      </c>
      <c r="D14" s="49" t="s">
        <v>182</v>
      </c>
      <c r="E14" s="50" t="n">
        <v>17970</v>
      </c>
      <c r="F14" s="50" t="n">
        <v>0</v>
      </c>
      <c r="G14" s="50" t="n">
        <f aca="false">F14/0.457534246575343</f>
        <v>0</v>
      </c>
      <c r="H14" s="50" t="n">
        <f aca="false">G14-E14</f>
        <v>-17970</v>
      </c>
    </row>
    <row r="15" customFormat="false" ht="15" hidden="false" customHeight="true" outlineLevel="0" collapsed="false">
      <c r="A15" s="47" t="s">
        <v>183</v>
      </c>
      <c r="B15" s="47" t="s">
        <v>184</v>
      </c>
      <c r="C15" s="51" t="s">
        <v>181</v>
      </c>
      <c r="D15" s="49" t="s">
        <v>185</v>
      </c>
      <c r="E15" s="50" t="n">
        <v>0</v>
      </c>
      <c r="F15" s="50" t="n">
        <v>2300</v>
      </c>
      <c r="G15" s="50" t="n">
        <f aca="false">F15/0.457534246575343</f>
        <v>5026.94610778443</v>
      </c>
      <c r="H15" s="50" t="n">
        <f aca="false">G15-E15</f>
        <v>5026.94610778443</v>
      </c>
    </row>
    <row r="16" customFormat="false" ht="15" hidden="false" customHeight="true" outlineLevel="0" collapsed="false">
      <c r="A16" s="47" t="s">
        <v>186</v>
      </c>
      <c r="B16" s="47" t="s">
        <v>187</v>
      </c>
      <c r="C16" s="51" t="s">
        <v>181</v>
      </c>
      <c r="D16" s="49" t="s">
        <v>188</v>
      </c>
      <c r="E16" s="50" t="n">
        <v>0</v>
      </c>
      <c r="F16" s="50" t="n">
        <v>4402</v>
      </c>
      <c r="G16" s="50" t="n">
        <f aca="false">F16/0.457534246575343</f>
        <v>9621.13772455089</v>
      </c>
      <c r="H16" s="50" t="n">
        <f aca="false">G16-E16</f>
        <v>9621.13772455089</v>
      </c>
    </row>
    <row r="17" customFormat="false" ht="15" hidden="false" customHeight="true" outlineLevel="0" collapsed="false">
      <c r="A17" s="47" t="s">
        <v>189</v>
      </c>
      <c r="B17" s="47" t="s">
        <v>184</v>
      </c>
      <c r="C17" s="51" t="s">
        <v>181</v>
      </c>
      <c r="D17" s="49" t="s">
        <v>185</v>
      </c>
      <c r="E17" s="50" t="n">
        <v>0</v>
      </c>
      <c r="F17" s="50" t="n">
        <v>79</v>
      </c>
      <c r="G17" s="50" t="n">
        <f aca="false">F17/0.457534246575343</f>
        <v>172.664670658682</v>
      </c>
      <c r="H17" s="50" t="n">
        <f aca="false">G17-E17</f>
        <v>172.664670658682</v>
      </c>
    </row>
    <row r="18" customFormat="false" ht="15" hidden="false" customHeight="true" outlineLevel="0" collapsed="false">
      <c r="A18" s="47" t="s">
        <v>190</v>
      </c>
      <c r="B18" s="47" t="s">
        <v>191</v>
      </c>
      <c r="C18" s="51" t="s">
        <v>181</v>
      </c>
      <c r="D18" s="49" t="s">
        <v>192</v>
      </c>
      <c r="E18" s="50" t="n">
        <v>370363</v>
      </c>
      <c r="F18" s="50" t="n">
        <v>239470</v>
      </c>
      <c r="G18" s="50" t="n">
        <f aca="false">F18/0.457534246575343</f>
        <v>523392.514970059</v>
      </c>
      <c r="H18" s="50" t="n">
        <f aca="false">G18-E18</f>
        <v>153029.514970059</v>
      </c>
    </row>
    <row r="19" customFormat="false" ht="15" hidden="false" customHeight="true" outlineLevel="0" collapsed="false">
      <c r="A19" s="47" t="s">
        <v>193</v>
      </c>
      <c r="B19" s="47" t="s">
        <v>194</v>
      </c>
      <c r="C19" s="51" t="s">
        <v>181</v>
      </c>
      <c r="D19" s="49" t="s">
        <v>195</v>
      </c>
      <c r="E19" s="50" t="n">
        <v>6379</v>
      </c>
      <c r="F19" s="50" t="n">
        <v>974</v>
      </c>
      <c r="G19" s="50" t="n">
        <f aca="false">F19/0.457534246575343</f>
        <v>2128.80239520958</v>
      </c>
      <c r="H19" s="50" t="n">
        <f aca="false">G19-E19</f>
        <v>-4250.19760479042</v>
      </c>
    </row>
    <row r="20" customFormat="false" ht="15" hidden="false" customHeight="true" outlineLevel="0" collapsed="false">
      <c r="A20" s="47" t="s">
        <v>196</v>
      </c>
      <c r="B20" s="47" t="s">
        <v>197</v>
      </c>
      <c r="C20" s="51" t="s">
        <v>181</v>
      </c>
      <c r="D20" s="49" t="s">
        <v>197</v>
      </c>
      <c r="E20" s="50" t="n">
        <v>19859</v>
      </c>
      <c r="F20" s="50" t="n">
        <v>1135</v>
      </c>
      <c r="G20" s="50" t="n">
        <f aca="false">F20/0.457534246575343</f>
        <v>2480.68862275449</v>
      </c>
      <c r="H20" s="50" t="n">
        <f aca="false">G20-E20</f>
        <v>-17378.3113772455</v>
      </c>
    </row>
    <row r="21" customFormat="false" ht="15" hidden="false" customHeight="true" outlineLevel="0" collapsed="false">
      <c r="A21" s="47" t="s">
        <v>198</v>
      </c>
      <c r="B21" s="47" t="s">
        <v>199</v>
      </c>
      <c r="C21" s="51" t="s">
        <v>181</v>
      </c>
      <c r="D21" s="49" t="s">
        <v>200</v>
      </c>
      <c r="E21" s="50" t="n">
        <v>44252</v>
      </c>
      <c r="F21" s="50" t="n">
        <v>17765</v>
      </c>
      <c r="G21" s="50" t="n">
        <f aca="false">F21/0.457534246575343</f>
        <v>38827.6946107784</v>
      </c>
      <c r="H21" s="50" t="n">
        <f aca="false">G21-E21</f>
        <v>-5424.3053892216</v>
      </c>
    </row>
    <row r="22" customFormat="false" ht="15" hidden="false" customHeight="true" outlineLevel="0" collapsed="false">
      <c r="A22" s="47" t="s">
        <v>201</v>
      </c>
      <c r="B22" s="47" t="s">
        <v>202</v>
      </c>
      <c r="C22" s="51" t="s">
        <v>181</v>
      </c>
      <c r="D22" s="49" t="s">
        <v>203</v>
      </c>
      <c r="E22" s="50" t="n">
        <v>101330</v>
      </c>
      <c r="F22" s="50" t="n">
        <v>32100</v>
      </c>
      <c r="G22" s="50" t="n">
        <f aca="false">F22/0.457534246575343</f>
        <v>70158.6826347305</v>
      </c>
      <c r="H22" s="50" t="n">
        <f aca="false">G22-E22</f>
        <v>-31171.3173652695</v>
      </c>
    </row>
    <row r="23" customFormat="false" ht="15" hidden="false" customHeight="true" outlineLevel="0" collapsed="false">
      <c r="A23" s="47" t="s">
        <v>204</v>
      </c>
      <c r="B23" s="47" t="s">
        <v>205</v>
      </c>
      <c r="C23" s="51" t="s">
        <v>181</v>
      </c>
      <c r="D23" s="49" t="s">
        <v>206</v>
      </c>
      <c r="E23" s="50" t="n">
        <v>1717</v>
      </c>
      <c r="F23" s="50" t="n">
        <v>1752</v>
      </c>
      <c r="G23" s="50" t="n">
        <f aca="false">F23/0.457534246575343</f>
        <v>3829.22155688622</v>
      </c>
      <c r="H23" s="50" t="n">
        <f aca="false">G23-E23</f>
        <v>2112.22155688622</v>
      </c>
    </row>
    <row r="24" customFormat="false" ht="15" hidden="false" customHeight="true" outlineLevel="0" collapsed="false">
      <c r="A24" s="47" t="s">
        <v>207</v>
      </c>
      <c r="B24" s="47" t="s">
        <v>208</v>
      </c>
      <c r="C24" s="51" t="s">
        <v>181</v>
      </c>
      <c r="D24" s="49" t="s">
        <v>206</v>
      </c>
      <c r="E24" s="50" t="n">
        <v>4414</v>
      </c>
      <c r="F24" s="50" t="n">
        <v>0</v>
      </c>
      <c r="G24" s="50" t="n">
        <f aca="false">F24/0.457534246575343</f>
        <v>0</v>
      </c>
      <c r="H24" s="50" t="n">
        <f aca="false">G24-E24</f>
        <v>-4414</v>
      </c>
    </row>
    <row r="25" customFormat="false" ht="15" hidden="false" customHeight="true" outlineLevel="0" collapsed="false">
      <c r="A25" s="47" t="s">
        <v>209</v>
      </c>
      <c r="B25" s="47" t="s">
        <v>210</v>
      </c>
      <c r="C25" s="51" t="s">
        <v>181</v>
      </c>
      <c r="D25" s="49" t="s">
        <v>211</v>
      </c>
      <c r="E25" s="50" t="n">
        <v>61757</v>
      </c>
      <c r="F25" s="50" t="n">
        <v>46195</v>
      </c>
      <c r="G25" s="50" t="n">
        <f aca="false">F25/0.457534246575343</f>
        <v>100965.119760479</v>
      </c>
      <c r="H25" s="50" t="n">
        <f aca="false">G25-E25</f>
        <v>39208.1197604789</v>
      </c>
    </row>
    <row r="26" customFormat="false" ht="15" hidden="false" customHeight="true" outlineLevel="0" collapsed="false">
      <c r="A26" s="47" t="s">
        <v>212</v>
      </c>
      <c r="B26" s="47" t="s">
        <v>213</v>
      </c>
      <c r="C26" s="51" t="s">
        <v>181</v>
      </c>
      <c r="D26" s="49" t="s">
        <v>214</v>
      </c>
      <c r="E26" s="50" t="n">
        <v>42872</v>
      </c>
      <c r="F26" s="50" t="n">
        <v>0</v>
      </c>
      <c r="G26" s="50" t="n">
        <f aca="false">F26/0.457534246575343</f>
        <v>0</v>
      </c>
      <c r="H26" s="50" t="n">
        <f aca="false">G26-E26</f>
        <v>-42872</v>
      </c>
    </row>
    <row r="27" customFormat="false" ht="15" hidden="false" customHeight="true" outlineLevel="0" collapsed="false">
      <c r="A27" s="47" t="s">
        <v>215</v>
      </c>
      <c r="B27" s="47" t="s">
        <v>216</v>
      </c>
      <c r="C27" s="51" t="s">
        <v>181</v>
      </c>
      <c r="D27" s="49" t="s">
        <v>216</v>
      </c>
      <c r="E27" s="50" t="n">
        <v>58690</v>
      </c>
      <c r="F27" s="50" t="n">
        <v>0</v>
      </c>
      <c r="G27" s="50" t="n">
        <f aca="false">F27/0.457534246575343</f>
        <v>0</v>
      </c>
      <c r="H27" s="50" t="n">
        <f aca="false">G27-E27</f>
        <v>-58690</v>
      </c>
    </row>
    <row r="28" customFormat="false" ht="15" hidden="false" customHeight="true" outlineLevel="0" collapsed="false">
      <c r="A28" s="47" t="s">
        <v>217</v>
      </c>
      <c r="B28" s="47" t="s">
        <v>218</v>
      </c>
      <c r="C28" s="52" t="s">
        <v>219</v>
      </c>
      <c r="D28" s="49" t="s">
        <v>220</v>
      </c>
      <c r="E28" s="50" t="n">
        <v>24660</v>
      </c>
      <c r="F28" s="50" t="n">
        <v>0</v>
      </c>
      <c r="G28" s="50" t="n">
        <f aca="false">F28/0.457534246575343</f>
        <v>0</v>
      </c>
      <c r="H28" s="50" t="n">
        <f aca="false">G28-E28</f>
        <v>-24660</v>
      </c>
    </row>
    <row r="29" customFormat="false" ht="15" hidden="false" customHeight="true" outlineLevel="0" collapsed="false">
      <c r="A29" s="47" t="s">
        <v>221</v>
      </c>
      <c r="B29" s="47" t="s">
        <v>222</v>
      </c>
      <c r="C29" s="52" t="s">
        <v>219</v>
      </c>
      <c r="D29" s="49" t="s">
        <v>223</v>
      </c>
      <c r="E29" s="50" t="n">
        <v>6539</v>
      </c>
      <c r="F29" s="50" t="n">
        <v>179</v>
      </c>
      <c r="G29" s="50" t="n">
        <f aca="false">F29/0.457534246575343</f>
        <v>391.227544910179</v>
      </c>
      <c r="H29" s="50" t="n">
        <f aca="false">G29-E29</f>
        <v>-6147.77245508982</v>
      </c>
    </row>
    <row r="30" customFormat="false" ht="15" hidden="false" customHeight="true" outlineLevel="0" collapsed="false">
      <c r="A30" s="47" t="s">
        <v>224</v>
      </c>
      <c r="B30" s="47" t="s">
        <v>225</v>
      </c>
      <c r="C30" s="52" t="s">
        <v>219</v>
      </c>
      <c r="D30" s="49" t="s">
        <v>225</v>
      </c>
      <c r="E30" s="50" t="n">
        <v>617</v>
      </c>
      <c r="F30" s="50" t="n">
        <v>0</v>
      </c>
      <c r="G30" s="50" t="n">
        <f aca="false">F30/0.457534246575343</f>
        <v>0</v>
      </c>
      <c r="H30" s="50" t="n">
        <f aca="false">G30-E30</f>
        <v>-617</v>
      </c>
    </row>
    <row r="31" customFormat="false" ht="15" hidden="false" customHeight="true" outlineLevel="0" collapsed="false">
      <c r="A31" s="47" t="s">
        <v>226</v>
      </c>
      <c r="B31" s="47" t="s">
        <v>227</v>
      </c>
      <c r="C31" s="52" t="s">
        <v>219</v>
      </c>
      <c r="D31" s="49" t="s">
        <v>228</v>
      </c>
      <c r="E31" s="50" t="n">
        <v>37039</v>
      </c>
      <c r="F31" s="50" t="n">
        <v>37599</v>
      </c>
      <c r="G31" s="50" t="n">
        <f aca="false">F31/0.457534246575343</f>
        <v>82177.4550898203</v>
      </c>
      <c r="H31" s="50" t="n">
        <f aca="false">G31-E31</f>
        <v>45138.4550898203</v>
      </c>
    </row>
    <row r="32" customFormat="false" ht="15" hidden="false" customHeight="true" outlineLevel="0" collapsed="false">
      <c r="A32" s="47" t="s">
        <v>229</v>
      </c>
      <c r="B32" s="47" t="s">
        <v>230</v>
      </c>
      <c r="C32" s="52" t="s">
        <v>219</v>
      </c>
      <c r="D32" s="49" t="s">
        <v>231</v>
      </c>
      <c r="E32" s="50" t="n">
        <v>22600</v>
      </c>
      <c r="F32" s="50" t="n">
        <v>0</v>
      </c>
      <c r="G32" s="50" t="n">
        <f aca="false">F32/0.457534246575343</f>
        <v>0</v>
      </c>
      <c r="H32" s="50" t="n">
        <f aca="false">G32-E32</f>
        <v>-22600</v>
      </c>
    </row>
    <row r="33" customFormat="false" ht="15" hidden="false" customHeight="true" outlineLevel="0" collapsed="false">
      <c r="A33" s="47" t="s">
        <v>232</v>
      </c>
      <c r="B33" s="47" t="s">
        <v>233</v>
      </c>
      <c r="C33" s="52" t="s">
        <v>219</v>
      </c>
      <c r="D33" s="49" t="s">
        <v>233</v>
      </c>
      <c r="E33" s="50" t="n">
        <v>255371</v>
      </c>
      <c r="F33" s="50" t="n">
        <v>169240</v>
      </c>
      <c r="G33" s="50" t="n">
        <f aca="false">F33/0.457534246575343</f>
        <v>369895.808383233</v>
      </c>
      <c r="H33" s="50" t="n">
        <f aca="false">G33-E33</f>
        <v>114524.808383233</v>
      </c>
    </row>
    <row r="34" customFormat="false" ht="15" hidden="false" customHeight="true" outlineLevel="0" collapsed="false">
      <c r="A34" s="47" t="s">
        <v>234</v>
      </c>
      <c r="B34" s="47" t="s">
        <v>235</v>
      </c>
      <c r="C34" s="52" t="s">
        <v>219</v>
      </c>
      <c r="D34" s="49" t="s">
        <v>236</v>
      </c>
      <c r="E34" s="50" t="n">
        <v>16200</v>
      </c>
      <c r="F34" s="50" t="n">
        <v>0</v>
      </c>
      <c r="G34" s="50" t="n">
        <f aca="false">F34/0.457534246575343</f>
        <v>0</v>
      </c>
      <c r="H34" s="50" t="n">
        <f aca="false">G34-E34</f>
        <v>-16200</v>
      </c>
    </row>
    <row r="35" customFormat="false" ht="15" hidden="false" customHeight="true" outlineLevel="0" collapsed="false">
      <c r="A35" s="47" t="s">
        <v>237</v>
      </c>
      <c r="B35" s="47" t="s">
        <v>238</v>
      </c>
      <c r="C35" s="52" t="s">
        <v>219</v>
      </c>
      <c r="D35" s="49" t="s">
        <v>238</v>
      </c>
      <c r="E35" s="50" t="n">
        <v>91200</v>
      </c>
      <c r="F35" s="50" t="n">
        <v>45600</v>
      </c>
      <c r="G35" s="50" t="n">
        <f aca="false">F35/0.457534246575343</f>
        <v>99664.6706586825</v>
      </c>
      <c r="H35" s="50" t="n">
        <f aca="false">G35-E35</f>
        <v>8464.67065868253</v>
      </c>
    </row>
    <row r="36" customFormat="false" ht="15" hidden="false" customHeight="true" outlineLevel="0" collapsed="false">
      <c r="A36" s="47" t="s">
        <v>239</v>
      </c>
      <c r="B36" s="47" t="s">
        <v>240</v>
      </c>
      <c r="C36" s="52" t="s">
        <v>219</v>
      </c>
      <c r="D36" s="49" t="s">
        <v>241</v>
      </c>
      <c r="E36" s="50" t="n">
        <v>0</v>
      </c>
      <c r="F36" s="50" t="n">
        <v>11505</v>
      </c>
      <c r="G36" s="50" t="n">
        <f aca="false">F36/0.457534246575343</f>
        <v>25145.6586826347</v>
      </c>
      <c r="H36" s="50" t="n">
        <f aca="false">G36-E36</f>
        <v>25145.6586826347</v>
      </c>
    </row>
    <row r="37" customFormat="false" ht="15" hidden="false" customHeight="true" outlineLevel="0" collapsed="false">
      <c r="A37" s="47" t="s">
        <v>242</v>
      </c>
      <c r="B37" s="47" t="s">
        <v>243</v>
      </c>
      <c r="C37" s="52" t="s">
        <v>219</v>
      </c>
      <c r="D37" s="49" t="s">
        <v>244</v>
      </c>
      <c r="E37" s="50" t="n">
        <v>27500</v>
      </c>
      <c r="F37" s="50" t="n">
        <v>44000</v>
      </c>
      <c r="G37" s="50" t="n">
        <f aca="false">F37/0.457534246575343</f>
        <v>96167.6646706586</v>
      </c>
      <c r="H37" s="50" t="n">
        <f aca="false">G37-E37</f>
        <v>68667.6646706586</v>
      </c>
    </row>
    <row r="38" customFormat="false" ht="15" hidden="false" customHeight="true" outlineLevel="0" collapsed="false">
      <c r="A38" s="47" t="s">
        <v>245</v>
      </c>
      <c r="B38" s="47" t="s">
        <v>246</v>
      </c>
      <c r="C38" s="52" t="s">
        <v>219</v>
      </c>
      <c r="D38" s="49" t="s">
        <v>246</v>
      </c>
      <c r="E38" s="50" t="n">
        <v>28742</v>
      </c>
      <c r="F38" s="50" t="n">
        <v>33698</v>
      </c>
      <c r="G38" s="50" t="n">
        <f aca="false">F38/0.457534246575343</f>
        <v>73651.3173652694</v>
      </c>
      <c r="H38" s="50" t="n">
        <f aca="false">G38-E38</f>
        <v>44909.3173652694</v>
      </c>
    </row>
    <row r="39" customFormat="false" ht="15" hidden="false" customHeight="true" outlineLevel="0" collapsed="false">
      <c r="A39" s="47" t="s">
        <v>247</v>
      </c>
      <c r="B39" s="47" t="s">
        <v>248</v>
      </c>
      <c r="C39" s="52" t="s">
        <v>219</v>
      </c>
      <c r="D39" s="49" t="s">
        <v>248</v>
      </c>
      <c r="E39" s="50" t="n">
        <v>69614</v>
      </c>
      <c r="F39" s="50" t="n">
        <v>0</v>
      </c>
      <c r="G39" s="50" t="n">
        <f aca="false">F39/0.457534246575343</f>
        <v>0</v>
      </c>
      <c r="H39" s="50" t="n">
        <f aca="false">G39-E39</f>
        <v>-69614</v>
      </c>
    </row>
    <row r="40" customFormat="false" ht="15" hidden="false" customHeight="true" outlineLevel="0" collapsed="false">
      <c r="A40" s="47" t="s">
        <v>249</v>
      </c>
      <c r="B40" s="47" t="s">
        <v>250</v>
      </c>
      <c r="C40" s="52" t="s">
        <v>219</v>
      </c>
      <c r="D40" s="49" t="s">
        <v>250</v>
      </c>
      <c r="E40" s="50" t="n">
        <v>17744</v>
      </c>
      <c r="F40" s="50" t="n">
        <v>43533</v>
      </c>
      <c r="G40" s="50" t="n">
        <f aca="false">F40/0.457534246575343</f>
        <v>95146.9760479041</v>
      </c>
      <c r="H40" s="50" t="n">
        <f aca="false">G40-E40</f>
        <v>77402.9760479041</v>
      </c>
    </row>
    <row r="41" customFormat="false" ht="15" hidden="false" customHeight="true" outlineLevel="0" collapsed="false">
      <c r="A41" s="47" t="s">
        <v>251</v>
      </c>
      <c r="B41" s="47" t="s">
        <v>252</v>
      </c>
      <c r="C41" s="52" t="s">
        <v>219</v>
      </c>
      <c r="D41" s="49" t="s">
        <v>252</v>
      </c>
      <c r="E41" s="50" t="n">
        <v>30436</v>
      </c>
      <c r="F41" s="50" t="n">
        <v>15305</v>
      </c>
      <c r="G41" s="50" t="n">
        <f aca="false">F41/0.457534246575343</f>
        <v>33451.0479041916</v>
      </c>
      <c r="H41" s="50" t="n">
        <f aca="false">G41-E41</f>
        <v>3015.04790419158</v>
      </c>
    </row>
    <row r="42" customFormat="false" ht="15" hidden="false" customHeight="true" outlineLevel="0" collapsed="false">
      <c r="A42" s="47" t="s">
        <v>253</v>
      </c>
      <c r="B42" s="47" t="s">
        <v>254</v>
      </c>
      <c r="C42" s="52" t="s">
        <v>219</v>
      </c>
      <c r="D42" s="49" t="s">
        <v>255</v>
      </c>
      <c r="E42" s="50" t="n">
        <v>308316</v>
      </c>
      <c r="F42" s="50" t="n">
        <v>104329</v>
      </c>
      <c r="G42" s="50" t="n">
        <f aca="false">F42/0.457534246575343</f>
        <v>228024.461077844</v>
      </c>
      <c r="H42" s="50" t="n">
        <f aca="false">G42-E42</f>
        <v>-80291.538922156</v>
      </c>
    </row>
    <row r="43" customFormat="false" ht="15" hidden="false" customHeight="true" outlineLevel="0" collapsed="false">
      <c r="A43" s="47" t="s">
        <v>256</v>
      </c>
      <c r="B43" s="47" t="s">
        <v>257</v>
      </c>
      <c r="C43" s="52" t="s">
        <v>219</v>
      </c>
      <c r="D43" s="49" t="s">
        <v>258</v>
      </c>
      <c r="E43" s="50" t="n">
        <v>3000</v>
      </c>
      <c r="F43" s="50" t="n">
        <v>0</v>
      </c>
      <c r="G43" s="50" t="n">
        <f aca="false">F43/0.457534246575343</f>
        <v>0</v>
      </c>
      <c r="H43" s="50" t="n">
        <f aca="false">G43-E43</f>
        <v>-3000</v>
      </c>
    </row>
    <row r="44" customFormat="false" ht="15" hidden="false" customHeight="true" outlineLevel="0" collapsed="false">
      <c r="A44" s="47" t="s">
        <v>259</v>
      </c>
      <c r="B44" s="47" t="s">
        <v>260</v>
      </c>
      <c r="C44" s="52" t="s">
        <v>219</v>
      </c>
      <c r="D44" s="49" t="s">
        <v>260</v>
      </c>
      <c r="E44" s="50" t="n">
        <v>34154</v>
      </c>
      <c r="F44" s="50" t="n">
        <v>76820</v>
      </c>
      <c r="G44" s="50" t="n">
        <f aca="false">F44/0.457534246575343</f>
        <v>167900</v>
      </c>
      <c r="H44" s="50" t="n">
        <f aca="false">G44-E44</f>
        <v>133746</v>
      </c>
    </row>
    <row r="45" customFormat="false" ht="15" hidden="false" customHeight="true" outlineLevel="0" collapsed="false">
      <c r="A45" s="47" t="s">
        <v>261</v>
      </c>
      <c r="B45" s="47" t="s">
        <v>262</v>
      </c>
      <c r="C45" s="52" t="s">
        <v>219</v>
      </c>
      <c r="D45" s="49" t="s">
        <v>262</v>
      </c>
      <c r="E45" s="50" t="n">
        <v>622</v>
      </c>
      <c r="F45" s="50" t="n">
        <v>916</v>
      </c>
      <c r="G45" s="50" t="n">
        <f aca="false">F45/0.457534246575343</f>
        <v>2002.03592814371</v>
      </c>
      <c r="H45" s="50" t="n">
        <f aca="false">G45-E45</f>
        <v>1380.03592814371</v>
      </c>
    </row>
    <row r="46" customFormat="false" ht="15" hidden="false" customHeight="true" outlineLevel="0" collapsed="false">
      <c r="A46" s="47" t="s">
        <v>263</v>
      </c>
      <c r="B46" s="47" t="s">
        <v>264</v>
      </c>
      <c r="C46" s="52" t="s">
        <v>219</v>
      </c>
      <c r="D46" s="49" t="s">
        <v>265</v>
      </c>
      <c r="E46" s="50" t="n">
        <v>0</v>
      </c>
      <c r="F46" s="50" t="n">
        <v>16678</v>
      </c>
      <c r="G46" s="50" t="n">
        <f aca="false">F46/0.457534246575343</f>
        <v>36451.9161676646</v>
      </c>
      <c r="H46" s="50" t="n">
        <f aca="false">G46-E46</f>
        <v>36451.9161676646</v>
      </c>
    </row>
    <row r="47" customFormat="false" ht="15" hidden="false" customHeight="true" outlineLevel="0" collapsed="false">
      <c r="A47" s="47" t="s">
        <v>266</v>
      </c>
      <c r="B47" s="47" t="s">
        <v>267</v>
      </c>
      <c r="C47" s="52" t="s">
        <v>219</v>
      </c>
      <c r="D47" s="49" t="s">
        <v>268</v>
      </c>
      <c r="E47" s="50" t="n">
        <v>12784</v>
      </c>
      <c r="F47" s="50" t="n">
        <v>0</v>
      </c>
      <c r="G47" s="50" t="n">
        <f aca="false">F47/0.457534246575343</f>
        <v>0</v>
      </c>
      <c r="H47" s="50" t="n">
        <f aca="false">G47-E47</f>
        <v>-12784</v>
      </c>
    </row>
    <row r="48" customFormat="false" ht="15" hidden="false" customHeight="true" outlineLevel="0" collapsed="false">
      <c r="A48" s="47" t="s">
        <v>269</v>
      </c>
      <c r="B48" s="47" t="s">
        <v>270</v>
      </c>
      <c r="C48" s="52" t="s">
        <v>219</v>
      </c>
      <c r="D48" s="49" t="s">
        <v>271</v>
      </c>
      <c r="E48" s="50" t="n">
        <v>33021</v>
      </c>
      <c r="F48" s="50" t="n">
        <v>17136</v>
      </c>
      <c r="G48" s="50" t="n">
        <f aca="false">F48/0.457534246575343</f>
        <v>37452.9341317365</v>
      </c>
      <c r="H48" s="50" t="n">
        <f aca="false">G48-E48</f>
        <v>4431.93413173649</v>
      </c>
    </row>
    <row r="49" customFormat="false" ht="15" hidden="false" customHeight="true" outlineLevel="0" collapsed="false">
      <c r="A49" s="47" t="s">
        <v>272</v>
      </c>
      <c r="B49" s="47" t="s">
        <v>273</v>
      </c>
      <c r="C49" s="52" t="s">
        <v>219</v>
      </c>
      <c r="D49" s="49" t="s">
        <v>274</v>
      </c>
      <c r="E49" s="50" t="n">
        <v>12395</v>
      </c>
      <c r="F49" s="50" t="n">
        <v>0</v>
      </c>
      <c r="G49" s="50" t="n">
        <f aca="false">F49/0.457534246575343</f>
        <v>0</v>
      </c>
      <c r="H49" s="50" t="n">
        <f aca="false">G49-E49</f>
        <v>-12395</v>
      </c>
    </row>
    <row r="50" customFormat="false" ht="15" hidden="false" customHeight="true" outlineLevel="0" collapsed="false">
      <c r="A50" s="47" t="s">
        <v>275</v>
      </c>
      <c r="B50" s="47" t="s">
        <v>276</v>
      </c>
      <c r="C50" s="52" t="s">
        <v>219</v>
      </c>
      <c r="D50" s="49" t="s">
        <v>276</v>
      </c>
      <c r="E50" s="50" t="n">
        <v>4555</v>
      </c>
      <c r="F50" s="50" t="n">
        <v>0</v>
      </c>
      <c r="G50" s="50" t="n">
        <f aca="false">F50/0.457534246575343</f>
        <v>0</v>
      </c>
      <c r="H50" s="50" t="n">
        <f aca="false">G50-E50</f>
        <v>-4555</v>
      </c>
    </row>
    <row r="51" customFormat="false" ht="15" hidden="false" customHeight="true" outlineLevel="0" collapsed="false">
      <c r="A51" s="47" t="s">
        <v>277</v>
      </c>
      <c r="B51" s="47" t="s">
        <v>278</v>
      </c>
      <c r="C51" s="52" t="s">
        <v>219</v>
      </c>
      <c r="D51" s="49" t="s">
        <v>278</v>
      </c>
      <c r="E51" s="50" t="n">
        <v>7586</v>
      </c>
      <c r="F51" s="50" t="n">
        <v>0</v>
      </c>
      <c r="G51" s="50" t="n">
        <f aca="false">F51/0.457534246575343</f>
        <v>0</v>
      </c>
      <c r="H51" s="50" t="n">
        <f aca="false">G51-E51</f>
        <v>-7586</v>
      </c>
    </row>
    <row r="52" customFormat="false" ht="15" hidden="false" customHeight="true" outlineLevel="0" collapsed="false">
      <c r="A52" s="47" t="s">
        <v>279</v>
      </c>
      <c r="B52" s="47" t="s">
        <v>280</v>
      </c>
      <c r="C52" s="52" t="s">
        <v>219</v>
      </c>
      <c r="D52" s="49" t="s">
        <v>281</v>
      </c>
      <c r="E52" s="50" t="n">
        <v>490</v>
      </c>
      <c r="F52" s="50" t="n">
        <v>0</v>
      </c>
      <c r="G52" s="50" t="n">
        <f aca="false">F52/0.457534246575343</f>
        <v>0</v>
      </c>
      <c r="H52" s="50" t="n">
        <f aca="false">G52-E52</f>
        <v>-490</v>
      </c>
    </row>
    <row r="53" customFormat="false" ht="15" hidden="false" customHeight="true" outlineLevel="0" collapsed="false">
      <c r="A53" s="47" t="s">
        <v>282</v>
      </c>
      <c r="B53" s="47" t="s">
        <v>283</v>
      </c>
      <c r="C53" s="52" t="s">
        <v>219</v>
      </c>
      <c r="D53" s="49" t="s">
        <v>284</v>
      </c>
      <c r="E53" s="50" t="n">
        <v>81425</v>
      </c>
      <c r="F53" s="50" t="n">
        <v>0</v>
      </c>
      <c r="G53" s="50" t="n">
        <f aca="false">F53/0.457534246575343</f>
        <v>0</v>
      </c>
      <c r="H53" s="50" t="n">
        <f aca="false">G53-E53</f>
        <v>-81425</v>
      </c>
    </row>
    <row r="54" customFormat="false" ht="15" hidden="false" customHeight="true" outlineLevel="0" collapsed="false">
      <c r="A54" s="47" t="s">
        <v>285</v>
      </c>
      <c r="B54" s="47" t="s">
        <v>286</v>
      </c>
      <c r="C54" s="52" t="s">
        <v>219</v>
      </c>
      <c r="D54" s="49" t="s">
        <v>286</v>
      </c>
      <c r="E54" s="50" t="n">
        <v>42469</v>
      </c>
      <c r="F54" s="50" t="n">
        <v>2421</v>
      </c>
      <c r="G54" s="50" t="n">
        <f aca="false">F54/0.457534246575343</f>
        <v>5291.40718562874</v>
      </c>
      <c r="H54" s="50" t="n">
        <f aca="false">G54-E54</f>
        <v>-37177.5928143713</v>
      </c>
    </row>
    <row r="55" customFormat="false" ht="15" hidden="false" customHeight="true" outlineLevel="0" collapsed="false">
      <c r="A55" s="47" t="s">
        <v>287</v>
      </c>
      <c r="B55" s="47" t="s">
        <v>288</v>
      </c>
      <c r="C55" s="52" t="s">
        <v>219</v>
      </c>
      <c r="D55" s="49" t="s">
        <v>288</v>
      </c>
      <c r="E55" s="50" t="n">
        <v>8745</v>
      </c>
      <c r="F55" s="50" t="n">
        <v>481</v>
      </c>
      <c r="G55" s="50" t="n">
        <f aca="false">F55/0.457534246575343</f>
        <v>1051.2874251497</v>
      </c>
      <c r="H55" s="50" t="n">
        <f aca="false">G55-E55</f>
        <v>-7693.7125748503</v>
      </c>
    </row>
    <row r="56" customFormat="false" ht="15" hidden="false" customHeight="true" outlineLevel="0" collapsed="false">
      <c r="A56" s="47" t="s">
        <v>289</v>
      </c>
      <c r="B56" s="47" t="s">
        <v>290</v>
      </c>
      <c r="C56" s="52" t="s">
        <v>219</v>
      </c>
      <c r="D56" s="49" t="s">
        <v>290</v>
      </c>
      <c r="E56" s="50" t="n">
        <v>6180</v>
      </c>
      <c r="F56" s="50" t="n">
        <v>4743</v>
      </c>
      <c r="G56" s="50" t="n">
        <f aca="false">F56/0.457534246575343</f>
        <v>10366.4371257485</v>
      </c>
      <c r="H56" s="50" t="n">
        <f aca="false">G56-E56</f>
        <v>4186.43712574849</v>
      </c>
    </row>
    <row r="57" customFormat="false" ht="15" hidden="false" customHeight="true" outlineLevel="0" collapsed="false">
      <c r="A57" s="47" t="s">
        <v>291</v>
      </c>
      <c r="B57" s="47" t="s">
        <v>292</v>
      </c>
      <c r="C57" s="52" t="s">
        <v>219</v>
      </c>
      <c r="D57" s="49" t="s">
        <v>293</v>
      </c>
      <c r="E57" s="50" t="n">
        <v>29904</v>
      </c>
      <c r="F57" s="50" t="n">
        <v>14205</v>
      </c>
      <c r="G57" s="50" t="n">
        <f aca="false">F57/0.457534246575343</f>
        <v>31046.8562874251</v>
      </c>
      <c r="H57" s="50" t="n">
        <f aca="false">G57-E57</f>
        <v>1142.85628742511</v>
      </c>
    </row>
    <row r="58" customFormat="false" ht="15" hidden="false" customHeight="true" outlineLevel="0" collapsed="false">
      <c r="A58" s="47" t="s">
        <v>294</v>
      </c>
      <c r="B58" s="47" t="s">
        <v>295</v>
      </c>
      <c r="C58" s="52" t="s">
        <v>219</v>
      </c>
      <c r="D58" s="49" t="s">
        <v>296</v>
      </c>
      <c r="E58" s="50" t="n">
        <v>1001</v>
      </c>
      <c r="F58" s="50" t="n">
        <v>0</v>
      </c>
      <c r="G58" s="50" t="n">
        <f aca="false">F58/0.457534246575343</f>
        <v>0</v>
      </c>
      <c r="H58" s="50" t="n">
        <f aca="false">G58-E58</f>
        <v>-1001</v>
      </c>
    </row>
    <row r="59" customFormat="false" ht="15" hidden="false" customHeight="true" outlineLevel="0" collapsed="false">
      <c r="A59" s="47" t="s">
        <v>297</v>
      </c>
      <c r="B59" s="47" t="s">
        <v>298</v>
      </c>
      <c r="C59" s="52" t="s">
        <v>219</v>
      </c>
      <c r="D59" s="49" t="s">
        <v>299</v>
      </c>
      <c r="E59" s="50" t="n">
        <v>24049</v>
      </c>
      <c r="F59" s="50" t="n">
        <v>0</v>
      </c>
      <c r="G59" s="50" t="n">
        <f aca="false">F59/0.457534246575343</f>
        <v>0</v>
      </c>
      <c r="H59" s="50" t="n">
        <f aca="false">G59-E59</f>
        <v>-24049</v>
      </c>
    </row>
    <row r="60" customFormat="false" ht="15" hidden="false" customHeight="true" outlineLevel="0" collapsed="false">
      <c r="A60" s="47" t="s">
        <v>300</v>
      </c>
      <c r="B60" s="47" t="s">
        <v>301</v>
      </c>
      <c r="C60" s="52" t="s">
        <v>219</v>
      </c>
      <c r="D60" s="49" t="s">
        <v>302</v>
      </c>
      <c r="E60" s="50" t="n">
        <v>3365</v>
      </c>
      <c r="F60" s="50" t="n">
        <v>6824</v>
      </c>
      <c r="G60" s="50" t="n">
        <f aca="false">F60/0.457534246575343</f>
        <v>14914.7305389221</v>
      </c>
      <c r="H60" s="50" t="n">
        <f aca="false">G60-E60</f>
        <v>11549.7305389221</v>
      </c>
    </row>
    <row r="61" customFormat="false" ht="15" hidden="false" customHeight="true" outlineLevel="0" collapsed="false">
      <c r="A61" s="47" t="s">
        <v>303</v>
      </c>
      <c r="B61" s="47" t="s">
        <v>304</v>
      </c>
      <c r="C61" s="52" t="s">
        <v>219</v>
      </c>
      <c r="D61" s="49" t="s">
        <v>305</v>
      </c>
      <c r="E61" s="50" t="n">
        <v>1510</v>
      </c>
      <c r="F61" s="50" t="n">
        <v>0</v>
      </c>
      <c r="G61" s="50" t="n">
        <f aca="false">F61/0.457534246575343</f>
        <v>0</v>
      </c>
      <c r="H61" s="50" t="n">
        <f aca="false">G61-E61</f>
        <v>-1510</v>
      </c>
    </row>
    <row r="62" customFormat="false" ht="15" hidden="false" customHeight="true" outlineLevel="0" collapsed="false">
      <c r="A62" s="47" t="s">
        <v>306</v>
      </c>
      <c r="B62" s="47" t="s">
        <v>307</v>
      </c>
      <c r="C62" s="52" t="s">
        <v>219</v>
      </c>
      <c r="D62" s="49" t="s">
        <v>307</v>
      </c>
      <c r="E62" s="50" t="n">
        <v>23943</v>
      </c>
      <c r="F62" s="50" t="n">
        <v>17813</v>
      </c>
      <c r="G62" s="50" t="n">
        <f aca="false">F62/0.457534246575343</f>
        <v>38932.6047904191</v>
      </c>
      <c r="H62" s="50" t="n">
        <f aca="false">G62-E62</f>
        <v>14989.6047904191</v>
      </c>
    </row>
    <row r="63" customFormat="false" ht="15" hidden="false" customHeight="true" outlineLevel="0" collapsed="false">
      <c r="A63" s="47" t="s">
        <v>308</v>
      </c>
      <c r="B63" s="47" t="s">
        <v>309</v>
      </c>
      <c r="C63" s="52" t="s">
        <v>219</v>
      </c>
      <c r="D63" s="49" t="s">
        <v>310</v>
      </c>
      <c r="E63" s="50" t="n">
        <v>1600</v>
      </c>
      <c r="F63" s="50" t="n">
        <v>4222</v>
      </c>
      <c r="G63" s="50" t="n">
        <f aca="false">F63/0.457534246575343</f>
        <v>9227.72455089819</v>
      </c>
      <c r="H63" s="50" t="n">
        <f aca="false">G63-E63</f>
        <v>7627.72455089819</v>
      </c>
    </row>
    <row r="64" customFormat="false" ht="15" hidden="false" customHeight="true" outlineLevel="0" collapsed="false">
      <c r="A64" s="47" t="s">
        <v>311</v>
      </c>
      <c r="B64" s="47" t="s">
        <v>312</v>
      </c>
      <c r="C64" s="52" t="s">
        <v>219</v>
      </c>
      <c r="D64" s="49" t="s">
        <v>312</v>
      </c>
      <c r="E64" s="50" t="n">
        <v>2</v>
      </c>
      <c r="F64" s="50" t="n">
        <v>0</v>
      </c>
      <c r="G64" s="50" t="n">
        <f aca="false">F64/0.457534246575343</f>
        <v>0</v>
      </c>
      <c r="H64" s="50" t="n">
        <f aca="false">G64-E64</f>
        <v>-2</v>
      </c>
    </row>
    <row r="65" customFormat="false" ht="15" hidden="false" customHeight="true" outlineLevel="0" collapsed="false">
      <c r="A65" s="47" t="s">
        <v>313</v>
      </c>
      <c r="B65" s="47" t="s">
        <v>314</v>
      </c>
      <c r="C65" s="52" t="s">
        <v>219</v>
      </c>
      <c r="D65" s="49" t="s">
        <v>315</v>
      </c>
      <c r="E65" s="50" t="n">
        <v>8605</v>
      </c>
      <c r="F65" s="50" t="n">
        <v>3517</v>
      </c>
      <c r="G65" s="50" t="n">
        <f aca="false">F65/0.457534246575343</f>
        <v>7686.85628742514</v>
      </c>
      <c r="H65" s="50" t="n">
        <f aca="false">G65-E65</f>
        <v>-918.143712574859</v>
      </c>
    </row>
    <row r="66" customFormat="false" ht="15" hidden="false" customHeight="true" outlineLevel="0" collapsed="false">
      <c r="A66" s="47" t="s">
        <v>316</v>
      </c>
      <c r="B66" s="47" t="s">
        <v>317</v>
      </c>
      <c r="C66" s="52" t="s">
        <v>219</v>
      </c>
      <c r="D66" s="49" t="s">
        <v>317</v>
      </c>
      <c r="E66" s="50" t="n">
        <v>6636</v>
      </c>
      <c r="F66" s="50" t="n">
        <v>0</v>
      </c>
      <c r="G66" s="50" t="n">
        <f aca="false">F66/0.457534246575343</f>
        <v>0</v>
      </c>
      <c r="H66" s="50" t="n">
        <f aca="false">G66-E66</f>
        <v>-6636</v>
      </c>
    </row>
    <row r="67" customFormat="false" ht="15" hidden="false" customHeight="true" outlineLevel="0" collapsed="false">
      <c r="A67" s="47" t="s">
        <v>318</v>
      </c>
      <c r="B67" s="47" t="s">
        <v>319</v>
      </c>
      <c r="C67" s="52" t="s">
        <v>219</v>
      </c>
      <c r="D67" s="49" t="s">
        <v>319</v>
      </c>
      <c r="E67" s="50" t="n">
        <v>515</v>
      </c>
      <c r="F67" s="50" t="n">
        <v>0</v>
      </c>
      <c r="G67" s="50" t="n">
        <f aca="false">F67/0.457534246575343</f>
        <v>0</v>
      </c>
      <c r="H67" s="50" t="n">
        <f aca="false">G67-E67</f>
        <v>-515</v>
      </c>
    </row>
    <row r="68" customFormat="false" ht="15" hidden="false" customHeight="true" outlineLevel="0" collapsed="false">
      <c r="A68" s="53" t="s">
        <v>320</v>
      </c>
      <c r="B68" s="53" t="s">
        <v>321</v>
      </c>
      <c r="C68" s="54" t="s">
        <v>322</v>
      </c>
      <c r="D68" s="55" t="s">
        <v>323</v>
      </c>
      <c r="E68" s="56" t="n">
        <v>205770</v>
      </c>
      <c r="F68" s="56" t="n">
        <v>29701</v>
      </c>
      <c r="G68" s="56" t="n">
        <f aca="false">F68/0.457534246575343</f>
        <v>64915.3592814371</v>
      </c>
      <c r="H68" s="56" t="n">
        <f aca="false">G68-E68</f>
        <v>-140854.640718563</v>
      </c>
    </row>
    <row r="69" customFormat="false" ht="15" hidden="false" customHeight="true" outlineLevel="0" collapsed="false">
      <c r="A69" s="57" t="s">
        <v>324</v>
      </c>
      <c r="B69" s="57" t="s">
        <v>325</v>
      </c>
      <c r="C69" s="58" t="s">
        <v>326</v>
      </c>
      <c r="D69" s="59" t="s">
        <v>327</v>
      </c>
      <c r="E69" s="60" t="n">
        <v>164900</v>
      </c>
      <c r="F69" s="60" t="n">
        <v>0</v>
      </c>
      <c r="G69" s="60" t="n">
        <f aca="false">F69/0.457534246575343</f>
        <v>0</v>
      </c>
      <c r="H69" s="60" t="n">
        <f aca="false">G69-E69</f>
        <v>-164900</v>
      </c>
    </row>
    <row r="70" customFormat="false" ht="15" hidden="false" customHeight="true" outlineLevel="0" collapsed="false">
      <c r="A70" s="57" t="s">
        <v>328</v>
      </c>
      <c r="B70" s="57" t="s">
        <v>329</v>
      </c>
      <c r="C70" s="58" t="s">
        <v>326</v>
      </c>
      <c r="D70" s="59" t="s">
        <v>330</v>
      </c>
      <c r="E70" s="60" t="n">
        <v>18270</v>
      </c>
      <c r="F70" s="60" t="n">
        <v>5051</v>
      </c>
      <c r="G70" s="60" t="n">
        <f aca="false">F70/0.457534246575343</f>
        <v>11039.6107784431</v>
      </c>
      <c r="H70" s="60" t="n">
        <f aca="false">G70-E70</f>
        <v>-7230.3892215569</v>
      </c>
    </row>
    <row r="71" customFormat="false" ht="15" hidden="false" customHeight="true" outlineLevel="0" collapsed="false">
      <c r="A71" s="57" t="s">
        <v>331</v>
      </c>
      <c r="B71" s="57" t="s">
        <v>332</v>
      </c>
      <c r="C71" s="58" t="s">
        <v>326</v>
      </c>
      <c r="D71" s="59" t="s">
        <v>333</v>
      </c>
      <c r="E71" s="60" t="n">
        <v>33760</v>
      </c>
      <c r="F71" s="60" t="n">
        <v>13350</v>
      </c>
      <c r="G71" s="60" t="n">
        <f aca="false">F71/0.457534246575343</f>
        <v>29178.1437125748</v>
      </c>
      <c r="H71" s="60" t="n">
        <f aca="false">G71-E71</f>
        <v>-4581.85628742518</v>
      </c>
    </row>
    <row r="72" customFormat="false" ht="15" hidden="false" customHeight="true" outlineLevel="0" collapsed="false">
      <c r="A72" s="57" t="s">
        <v>334</v>
      </c>
      <c r="B72" s="57" t="s">
        <v>335</v>
      </c>
      <c r="C72" s="58" t="s">
        <v>326</v>
      </c>
      <c r="D72" s="59" t="s">
        <v>336</v>
      </c>
      <c r="E72" s="60" t="n">
        <v>11193</v>
      </c>
      <c r="F72" s="60" t="n">
        <v>4664</v>
      </c>
      <c r="G72" s="60" t="n">
        <f aca="false">F72/0.457534246575343</f>
        <v>10193.7724550898</v>
      </c>
      <c r="H72" s="60" t="n">
        <f aca="false">G72-E72</f>
        <v>-999.227544910191</v>
      </c>
    </row>
    <row r="73" customFormat="false" ht="15" hidden="false" customHeight="true" outlineLevel="0" collapsed="false">
      <c r="A73" s="47" t="s">
        <v>337</v>
      </c>
      <c r="B73" s="47" t="s">
        <v>338</v>
      </c>
      <c r="C73" s="61" t="s">
        <v>339</v>
      </c>
      <c r="D73" s="49" t="s">
        <v>340</v>
      </c>
      <c r="E73" s="50" t="n">
        <v>-67958</v>
      </c>
      <c r="F73" s="50" t="n">
        <v>0</v>
      </c>
      <c r="G73" s="50" t="n">
        <f aca="false">F73/0.457534246575343</f>
        <v>0</v>
      </c>
      <c r="H73" s="50" t="n">
        <f aca="false">G73-E73</f>
        <v>67958</v>
      </c>
    </row>
    <row r="74" customFormat="false" ht="15" hidden="false" customHeight="true" outlineLevel="0" collapsed="false">
      <c r="A74" s="47" t="s">
        <v>341</v>
      </c>
      <c r="B74" s="47" t="s">
        <v>342</v>
      </c>
      <c r="C74" s="61" t="s">
        <v>339</v>
      </c>
      <c r="D74" s="49" t="s">
        <v>343</v>
      </c>
      <c r="E74" s="50" t="n">
        <v>-183</v>
      </c>
      <c r="F74" s="50" t="n">
        <v>0</v>
      </c>
      <c r="G74" s="50" t="n">
        <f aca="false">F74/0.457534246575343</f>
        <v>0</v>
      </c>
      <c r="H74" s="50" t="n">
        <f aca="false">G74-E74</f>
        <v>183</v>
      </c>
    </row>
    <row r="75" customFormat="false" ht="15" hidden="false" customHeight="true" outlineLevel="0" collapsed="false">
      <c r="A75" s="47" t="s">
        <v>344</v>
      </c>
      <c r="B75" s="47" t="s">
        <v>345</v>
      </c>
      <c r="C75" s="61" t="s">
        <v>339</v>
      </c>
      <c r="D75" s="49" t="s">
        <v>346</v>
      </c>
      <c r="E75" s="50" t="n">
        <v>2557</v>
      </c>
      <c r="F75" s="50" t="n">
        <v>0</v>
      </c>
      <c r="G75" s="50" t="n">
        <f aca="false">F75/0.457534246575343</f>
        <v>0</v>
      </c>
      <c r="H75" s="50" t="n">
        <f aca="false">G75-E75</f>
        <v>-2557</v>
      </c>
    </row>
    <row r="76" customFormat="false" ht="15" hidden="false" customHeight="true" outlineLevel="0" collapsed="false">
      <c r="A76" s="47" t="s">
        <v>347</v>
      </c>
      <c r="B76" s="47" t="s">
        <v>348</v>
      </c>
      <c r="C76" s="61" t="s">
        <v>339</v>
      </c>
      <c r="D76" s="49" t="s">
        <v>348</v>
      </c>
      <c r="E76" s="50" t="n">
        <v>10384</v>
      </c>
      <c r="F76" s="50" t="n">
        <v>377</v>
      </c>
      <c r="G76" s="50" t="n">
        <f aca="false">F76/0.457534246575343</f>
        <v>823.982035928143</v>
      </c>
      <c r="H76" s="50" t="n">
        <f aca="false">G76-E76</f>
        <v>-9560.01796407186</v>
      </c>
    </row>
    <row r="77" customFormat="false" ht="15" hidden="false" customHeight="true" outlineLevel="0" collapsed="false">
      <c r="A77" s="47" t="s">
        <v>349</v>
      </c>
      <c r="B77" s="47" t="s">
        <v>350</v>
      </c>
      <c r="C77" s="61" t="s">
        <v>339</v>
      </c>
      <c r="D77" s="49" t="s">
        <v>350</v>
      </c>
      <c r="E77" s="50" t="n">
        <v>32339</v>
      </c>
      <c r="F77" s="50" t="n">
        <v>10384</v>
      </c>
      <c r="G77" s="50" t="n">
        <f aca="false">F77/0.457534246575343</f>
        <v>22695.5688622754</v>
      </c>
      <c r="H77" s="50" t="n">
        <f aca="false">G77-E77</f>
        <v>-9643.43113772458</v>
      </c>
    </row>
    <row r="78" customFormat="false" ht="15" hidden="false" customHeight="true" outlineLevel="0" collapsed="false">
      <c r="A78" s="47" t="s">
        <v>351</v>
      </c>
      <c r="B78" s="47" t="s">
        <v>352</v>
      </c>
      <c r="C78" s="61" t="s">
        <v>339</v>
      </c>
      <c r="D78" s="49" t="s">
        <v>353</v>
      </c>
      <c r="E78" s="50" t="n">
        <v>1752</v>
      </c>
      <c r="F78" s="50" t="n">
        <v>9866</v>
      </c>
      <c r="G78" s="50" t="n">
        <f aca="false">F78/0.457534246575343</f>
        <v>21563.4131736527</v>
      </c>
      <c r="H78" s="50" t="n">
        <f aca="false">G78-E78</f>
        <v>19811.4131736527</v>
      </c>
    </row>
    <row r="80" customFormat="false" ht="15" hidden="false" customHeight="true" outlineLevel="0" collapsed="false">
      <c r="A80" s="62"/>
      <c r="B80" s="62"/>
      <c r="C80" s="62"/>
      <c r="D80" s="62"/>
    </row>
    <row r="81" customFormat="false" ht="15" hidden="false" customHeight="true" outlineLevel="0" collapsed="false">
      <c r="A81" s="63"/>
      <c r="B81" s="34" t="s">
        <v>354</v>
      </c>
      <c r="C81" s="63"/>
      <c r="D81" s="63"/>
      <c r="E81" s="24" t="n">
        <f aca="false">SUMIF($C$4:$C$79,"Meglerlønn",E$4:E$79)</f>
        <v>2652174</v>
      </c>
      <c r="F81" s="24" t="n">
        <f aca="false">SUMIF($C$4:$C$79,"Meglerlønn",F$4:F$79)</f>
        <v>1230472</v>
      </c>
      <c r="G81" s="24" t="n">
        <f aca="false">SUMIF($C$4:$C$79,"Meglerlønn",G$4:G$79)</f>
        <v>2689354.97005988</v>
      </c>
      <c r="H81" s="24" t="n">
        <f aca="false">G81-E81</f>
        <v>37180.9700598773</v>
      </c>
    </row>
    <row r="82" customFormat="false" ht="15" hidden="false" customHeight="true" outlineLevel="0" collapsed="false">
      <c r="A82" s="63"/>
      <c r="B82" s="34" t="s">
        <v>355</v>
      </c>
      <c r="C82" s="63"/>
      <c r="D82" s="63"/>
      <c r="E82" s="24" t="n">
        <f aca="false">SUMIF($C$4:$C$79,"Variabel",E$4:E$79)</f>
        <v>729603</v>
      </c>
      <c r="F82" s="24" t="n">
        <f aca="false">SUMIF($C$4:$C$79,"Variabel",F$4:F$79)</f>
        <v>346172</v>
      </c>
      <c r="G82" s="24" t="n">
        <f aca="false">SUMIF($C$4:$C$79,"Variabel",G$4:G$79)</f>
        <v>756603.473053891</v>
      </c>
      <c r="H82" s="24" t="n">
        <f aca="false">G82-E82</f>
        <v>27000.4730538913</v>
      </c>
    </row>
    <row r="83" customFormat="false" ht="15" hidden="false" customHeight="true" outlineLevel="0" collapsed="false">
      <c r="A83" s="63"/>
      <c r="B83" s="34" t="s">
        <v>98</v>
      </c>
      <c r="C83" s="63"/>
      <c r="D83" s="63"/>
      <c r="E83" s="24" t="n">
        <f aca="false">SUMIF($C$4:$C$79,"Fast",E$4:E$79)</f>
        <v>1285134</v>
      </c>
      <c r="F83" s="24" t="n">
        <f aca="false">SUMIF($C$4:$C$79,"Fast",F$4:F$79)</f>
        <v>670764</v>
      </c>
      <c r="G83" s="24" t="n">
        <f aca="false">SUMIF($C$4:$C$79,"Fast",G$4:G$79)</f>
        <v>1466041.07784431</v>
      </c>
      <c r="H83" s="24" t="n">
        <f aca="false">G83-E83</f>
        <v>180907.07784431</v>
      </c>
    </row>
    <row r="84" customFormat="false" ht="15" hidden="false" customHeight="true" outlineLevel="0" collapsed="false">
      <c r="A84" s="63"/>
      <c r="B84" s="34" t="s">
        <v>356</v>
      </c>
      <c r="C84" s="63"/>
      <c r="D84" s="63"/>
      <c r="E84" s="24" t="n">
        <f aca="false">SUMIF($C$4:$C$79,"Engangs",E$4:E$79)</f>
        <v>205770</v>
      </c>
      <c r="F84" s="24" t="n">
        <f aca="false">SUMIF($C$4:$C$79,"Engangs",F$4:F$79)</f>
        <v>29701</v>
      </c>
      <c r="G84" s="24" t="n">
        <f aca="false">SUMIF($C$4:$C$79,"Engangs",G$4:G$79)</f>
        <v>64915.3592814371</v>
      </c>
      <c r="H84" s="24" t="n">
        <f aca="false">G84-E84</f>
        <v>-140854.640718563</v>
      </c>
    </row>
    <row r="85" customFormat="false" ht="15" hidden="false" customHeight="true" outlineLevel="0" collapsed="false">
      <c r="A85" s="63"/>
      <c r="B85" s="34" t="s">
        <v>357</v>
      </c>
      <c r="C85" s="63"/>
      <c r="D85" s="63"/>
      <c r="E85" s="24" t="n">
        <f aca="false">SUMIF($C$4:$C$79,"Avskrivning",E$4:E$79)</f>
        <v>228123</v>
      </c>
      <c r="F85" s="24" t="n">
        <f aca="false">SUMIF($C$4:$C$79,"Avskrivning",F$4:F$79)</f>
        <v>23065</v>
      </c>
      <c r="G85" s="24" t="n">
        <f aca="false">SUMIF($C$4:$C$79,"Avskrivning",G$4:G$79)</f>
        <v>50411.5269461077</v>
      </c>
      <c r="H85" s="24" t="n">
        <f aca="false">G85-E85</f>
        <v>-177711.473053892</v>
      </c>
    </row>
    <row r="86" customFormat="false" ht="15" hidden="false" customHeight="true" outlineLevel="0" collapsed="false">
      <c r="A86" s="63"/>
      <c r="B86" s="34" t="s">
        <v>358</v>
      </c>
      <c r="C86" s="63"/>
      <c r="D86" s="63"/>
      <c r="E86" s="24" t="n">
        <f aca="false">SUMIF($C$4:$C$79,"Finans",E$4:E$79)</f>
        <v>-21109</v>
      </c>
      <c r="F86" s="24" t="n">
        <f aca="false">SUMIF($C$4:$C$79,"Finans",F$4:F$79)</f>
        <v>20627</v>
      </c>
      <c r="G86" s="24" t="n">
        <f aca="false">SUMIF($C$4:$C$79,"Finans",G$4:G$79)</f>
        <v>45082.9640718562</v>
      </c>
      <c r="H86" s="24" t="n">
        <f aca="false">G86-E86</f>
        <v>66191.9640718562</v>
      </c>
    </row>
    <row r="88" customFormat="false" ht="15" hidden="false" customHeight="true" outlineLevel="0" collapsed="false">
      <c r="B88" s="14" t="s">
        <v>359</v>
      </c>
      <c r="E88" s="64" t="n">
        <v>4857517</v>
      </c>
      <c r="F88" s="64" t="n">
        <v>1982200</v>
      </c>
      <c r="G88" s="64" t="n">
        <f aca="false">F88/0.457534246575343</f>
        <v>4332353.29341317</v>
      </c>
    </row>
    <row r="89" customFormat="false" ht="15" hidden="false" customHeight="true" outlineLevel="0" collapsed="false">
      <c r="B89" s="65" t="s">
        <v>360</v>
      </c>
      <c r="E89" s="66" t="n">
        <v>-199918</v>
      </c>
    </row>
  </sheetData>
  <mergeCells count="2">
    <mergeCell ref="A1:H1"/>
    <mergeCell ref="A80:D8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30"/>
    <col collapsed="false" customWidth="true" hidden="false" outlineLevel="0" max="3" min="3" style="1" width="10"/>
    <col collapsed="false" customWidth="true" hidden="false" outlineLevel="0" max="5" min="4" style="1" width="13"/>
    <col collapsed="false" customWidth="true" hidden="false" outlineLevel="0" max="7" min="6" style="1" width="11"/>
    <col collapsed="false" customWidth="true" hidden="false" outlineLevel="0" max="9" min="8" style="1" width="13"/>
    <col collapsed="false" customWidth="true" hidden="false" outlineLevel="0" max="10" min="10" style="1" width="11"/>
  </cols>
  <sheetData>
    <row r="1" customFormat="false" ht="21.75" hidden="false" customHeight="true" outlineLevel="0" collapsed="false">
      <c r="A1" s="6" t="s">
        <v>361</v>
      </c>
      <c r="B1" s="6"/>
      <c r="C1" s="6"/>
      <c r="D1" s="6"/>
      <c r="E1" s="6"/>
      <c r="F1" s="6"/>
      <c r="G1" s="6"/>
      <c r="H1" s="6"/>
      <c r="I1" s="6"/>
      <c r="J1" s="6"/>
    </row>
    <row r="2" customFormat="false" ht="15" hidden="false" customHeight="true" outlineLevel="0" collapsed="false">
      <c r="A2" s="27" t="s">
        <v>362</v>
      </c>
      <c r="B2" s="27"/>
      <c r="C2" s="27"/>
      <c r="D2" s="27"/>
      <c r="E2" s="27"/>
      <c r="F2" s="27"/>
      <c r="G2" s="27"/>
      <c r="H2" s="27"/>
      <c r="I2" s="27"/>
      <c r="J2" s="27"/>
    </row>
    <row r="4" customFormat="false" ht="15" hidden="false" customHeight="true" outlineLevel="0" collapsed="false">
      <c r="A4" s="7" t="s">
        <v>363</v>
      </c>
      <c r="B4" s="7"/>
      <c r="C4" s="7"/>
      <c r="E4" s="17" t="s">
        <v>364</v>
      </c>
      <c r="F4" s="17"/>
      <c r="G4" s="17"/>
      <c r="H4" s="17"/>
      <c r="I4" s="17"/>
      <c r="J4" s="17"/>
    </row>
    <row r="5" customFormat="false" ht="25.5" hidden="false" customHeight="true" outlineLevel="0" collapsed="false">
      <c r="A5" s="8" t="s">
        <v>365</v>
      </c>
      <c r="B5" s="19" t="n">
        <v>15000</v>
      </c>
      <c r="C5" s="65" t="s">
        <v>366</v>
      </c>
      <c r="E5" s="67" t="s">
        <v>64</v>
      </c>
      <c r="F5" s="67" t="s">
        <v>367</v>
      </c>
      <c r="G5" s="67" t="s">
        <v>368</v>
      </c>
      <c r="H5" s="67" t="s">
        <v>369</v>
      </c>
      <c r="I5" s="67" t="s">
        <v>370</v>
      </c>
    </row>
    <row r="6" customFormat="false" ht="15" hidden="false" customHeight="true" outlineLevel="0" collapsed="false">
      <c r="E6" s="18" t="s">
        <v>71</v>
      </c>
      <c r="F6" s="68" t="n">
        <f aca="false">COUNTIF($C$17:$C$79,"Sindre")</f>
        <v>25</v>
      </c>
      <c r="G6" s="21" t="n">
        <f aca="false">SUMIF($C$17:$C$79,"Sindre",$I$17:$I$79)</f>
        <v>110021</v>
      </c>
      <c r="H6" s="68" t="n">
        <f aca="false">COUNTIFS($C$17:$C$79,"Sindre",$J$17:$J$79,"OVER")</f>
        <v>2</v>
      </c>
      <c r="I6" s="21" t="n">
        <f aca="false">SUMIFS($I$17:$I$79,$C$17:$C$79,"Sindre",$J$17:$J$79,"OVER")</f>
        <v>39912</v>
      </c>
    </row>
    <row r="7" customFormat="false" ht="15" hidden="false" customHeight="true" outlineLevel="0" collapsed="false">
      <c r="E7" s="18" t="s">
        <v>73</v>
      </c>
      <c r="F7" s="68" t="n">
        <f aca="false">COUNTIF($C$17:$C$79,"Henrik")</f>
        <v>23</v>
      </c>
      <c r="G7" s="21" t="n">
        <f aca="false">SUMIF($C$17:$C$79,"Henrik",$I$17:$I$79)</f>
        <v>130381</v>
      </c>
      <c r="H7" s="68" t="n">
        <f aca="false">COUNTIFS($C$17:$C$79,"Henrik",$J$17:$J$79,"OVER")</f>
        <v>2</v>
      </c>
      <c r="I7" s="21" t="n">
        <f aca="false">SUMIFS($I$17:$I$79,$C$17:$C$79,"Henrik",$J$17:$J$79,"OVER")</f>
        <v>44615</v>
      </c>
    </row>
    <row r="8" customFormat="false" ht="15" hidden="false" customHeight="true" outlineLevel="0" collapsed="false">
      <c r="E8" s="18" t="s">
        <v>75</v>
      </c>
      <c r="F8" s="68" t="n">
        <f aca="false">COUNTIF($C$17:$C$79,"Daniel")</f>
        <v>12</v>
      </c>
      <c r="G8" s="21" t="n">
        <f aca="false">SUMIF($C$17:$C$79,"Daniel",$I$17:$I$79)</f>
        <v>44060</v>
      </c>
      <c r="H8" s="68" t="n">
        <f aca="false">COUNTIFS($C$17:$C$79,"Daniel",$J$17:$J$79,"OVER")</f>
        <v>0</v>
      </c>
      <c r="I8" s="21" t="n">
        <f aca="false">SUMIFS($I$17:$I$79,$C$17:$C$79,"Daniel",$J$17:$J$79,"OVER")</f>
        <v>0</v>
      </c>
    </row>
    <row r="9" customFormat="false" ht="15" hidden="false" customHeight="true" outlineLevel="0" collapsed="false">
      <c r="E9" s="18" t="s">
        <v>371</v>
      </c>
      <c r="F9" s="68" t="n">
        <f aca="false">COUNTIF($C$17:$C$79,"Ukjent")</f>
        <v>3</v>
      </c>
      <c r="G9" s="21" t="n">
        <f aca="false">SUMIF($C$17:$C$79,"Ukjent",$I$17:$I$79)</f>
        <v>1574</v>
      </c>
      <c r="H9" s="68" t="n">
        <f aca="false">COUNTIFS($C$17:$C$79,"Ukjent",$J$17:$J$79,"OVER")</f>
        <v>0</v>
      </c>
      <c r="I9" s="21" t="n">
        <f aca="false">SUMIFS($I$17:$I$79,$C$17:$C$79,"Ukjent",$J$17:$J$79,"OVER")</f>
        <v>0</v>
      </c>
    </row>
    <row r="10" customFormat="false" ht="15" hidden="false" customHeight="true" outlineLevel="0" collapsed="false">
      <c r="E10" s="23" t="s">
        <v>372</v>
      </c>
      <c r="F10" s="26" t="n">
        <f aca="false">SUM(F6:F9)</f>
        <v>63</v>
      </c>
      <c r="G10" s="24" t="n">
        <f aca="false">SUM(G6:G9)</f>
        <v>286036</v>
      </c>
      <c r="H10" s="26" t="n">
        <f aca="false">SUM(H6:H9)</f>
        <v>4</v>
      </c>
      <c r="I10" s="24" t="n">
        <f aca="false">SUM(I6:I9)</f>
        <v>84527</v>
      </c>
    </row>
    <row r="12" customFormat="false" ht="15" hidden="false" customHeight="true" outlineLevel="0" collapsed="false">
      <c r="E12" s="69" t="s">
        <v>373</v>
      </c>
      <c r="F12" s="69"/>
      <c r="G12" s="69"/>
      <c r="H12" s="69"/>
      <c r="I12" s="69"/>
      <c r="J12" s="69"/>
    </row>
    <row r="13" customFormat="false" ht="15" hidden="false" customHeight="true" outlineLevel="0" collapsed="false">
      <c r="E13" s="69"/>
      <c r="F13" s="69"/>
      <c r="G13" s="69"/>
      <c r="H13" s="69"/>
      <c r="I13" s="69"/>
      <c r="J13" s="69"/>
    </row>
    <row r="14" customFormat="false" ht="15" hidden="false" customHeight="true" outlineLevel="0" collapsed="false">
      <c r="E14" s="69"/>
      <c r="F14" s="69"/>
      <c r="G14" s="69"/>
      <c r="H14" s="69"/>
      <c r="I14" s="69"/>
      <c r="J14" s="69"/>
    </row>
    <row r="15" customFormat="false" ht="15" hidden="false" customHeight="true" outlineLevel="0" collapsed="false">
      <c r="A15" s="17" t="s">
        <v>374</v>
      </c>
      <c r="B15" s="17"/>
      <c r="C15" s="17"/>
      <c r="D15" s="17"/>
      <c r="E15" s="17"/>
      <c r="F15" s="17"/>
      <c r="G15" s="17"/>
      <c r="H15" s="17"/>
      <c r="I15" s="17"/>
      <c r="J15" s="17"/>
    </row>
    <row r="16" customFormat="false" ht="30" hidden="false" customHeight="true" outlineLevel="0" collapsed="false">
      <c r="A16" s="70" t="s">
        <v>375</v>
      </c>
      <c r="B16" s="70" t="s">
        <v>376</v>
      </c>
      <c r="C16" s="70" t="s">
        <v>64</v>
      </c>
      <c r="D16" s="70" t="s">
        <v>377</v>
      </c>
      <c r="E16" s="70" t="s">
        <v>378</v>
      </c>
      <c r="F16" s="70" t="s">
        <v>214</v>
      </c>
      <c r="G16" s="70" t="s">
        <v>379</v>
      </c>
      <c r="H16" s="70" t="s">
        <v>380</v>
      </c>
      <c r="I16" s="70" t="s">
        <v>79</v>
      </c>
      <c r="J16" s="70" t="s">
        <v>381</v>
      </c>
    </row>
    <row r="17" customFormat="false" ht="15" hidden="false" customHeight="true" outlineLevel="0" collapsed="false">
      <c r="A17" s="47" t="s">
        <v>382</v>
      </c>
      <c r="B17" s="47" t="s">
        <v>383</v>
      </c>
      <c r="C17" s="71" t="s">
        <v>73</v>
      </c>
      <c r="D17" s="50" t="n">
        <v>24035</v>
      </c>
      <c r="E17" s="50" t="n">
        <v>775</v>
      </c>
      <c r="F17" s="50" t="n">
        <v>0</v>
      </c>
      <c r="G17" s="50" t="n">
        <v>476</v>
      </c>
      <c r="H17" s="50" t="n">
        <v>105</v>
      </c>
      <c r="I17" s="72" t="n">
        <f aca="false">SUM(D17:H17)</f>
        <v>25391</v>
      </c>
      <c r="J17" s="73" t="str">
        <f aca="false">IF(I17&gt;$B$5,"OVER","")</f>
        <v>OVER</v>
      </c>
    </row>
    <row r="18" customFormat="false" ht="15" hidden="false" customHeight="true" outlineLevel="0" collapsed="false">
      <c r="A18" s="47" t="s">
        <v>384</v>
      </c>
      <c r="B18" s="47" t="s">
        <v>385</v>
      </c>
      <c r="C18" s="71" t="s">
        <v>71</v>
      </c>
      <c r="D18" s="50" t="n">
        <v>22687</v>
      </c>
      <c r="E18" s="50" t="n">
        <v>1225</v>
      </c>
      <c r="F18" s="50" t="n">
        <v>0</v>
      </c>
      <c r="G18" s="50" t="n">
        <v>0</v>
      </c>
      <c r="H18" s="50" t="n">
        <v>0</v>
      </c>
      <c r="I18" s="72" t="n">
        <f aca="false">SUM(D18:H18)</f>
        <v>23912</v>
      </c>
      <c r="J18" s="73" t="str">
        <f aca="false">IF(I18&gt;$B$5,"OVER","")</f>
        <v>OVER</v>
      </c>
    </row>
    <row r="19" customFormat="false" ht="15" hidden="false" customHeight="true" outlineLevel="0" collapsed="false">
      <c r="A19" s="47" t="s">
        <v>386</v>
      </c>
      <c r="B19" s="47" t="s">
        <v>387</v>
      </c>
      <c r="C19" s="71" t="s">
        <v>73</v>
      </c>
      <c r="D19" s="50" t="n">
        <v>7168</v>
      </c>
      <c r="E19" s="50" t="n">
        <v>1225</v>
      </c>
      <c r="F19" s="50" t="n">
        <v>0</v>
      </c>
      <c r="G19" s="50" t="n">
        <v>10521</v>
      </c>
      <c r="H19" s="50" t="n">
        <v>310</v>
      </c>
      <c r="I19" s="72" t="n">
        <f aca="false">SUM(D19:H19)</f>
        <v>19224</v>
      </c>
      <c r="J19" s="73" t="str">
        <f aca="false">IF(I19&gt;$B$5,"OVER","")</f>
        <v>OVER</v>
      </c>
    </row>
    <row r="20" customFormat="false" ht="15" hidden="false" customHeight="true" outlineLevel="0" collapsed="false">
      <c r="A20" s="47" t="s">
        <v>388</v>
      </c>
      <c r="B20" s="47" t="s">
        <v>389</v>
      </c>
      <c r="C20" s="71" t="s">
        <v>71</v>
      </c>
      <c r="D20" s="50" t="n">
        <v>16000</v>
      </c>
      <c r="E20" s="50" t="n">
        <v>0</v>
      </c>
      <c r="F20" s="50" t="n">
        <v>0</v>
      </c>
      <c r="G20" s="50" t="n">
        <v>0</v>
      </c>
      <c r="H20" s="50" t="n">
        <v>0</v>
      </c>
      <c r="I20" s="72" t="n">
        <f aca="false">SUM(D20:H20)</f>
        <v>16000</v>
      </c>
      <c r="J20" s="73" t="str">
        <f aca="false">IF(I20&gt;$B$5,"OVER","")</f>
        <v>OVER</v>
      </c>
    </row>
    <row r="21" customFormat="false" ht="15" hidden="false" customHeight="true" outlineLevel="0" collapsed="false">
      <c r="A21" s="47" t="s">
        <v>390</v>
      </c>
      <c r="B21" s="47" t="s">
        <v>391</v>
      </c>
      <c r="C21" s="71" t="s">
        <v>71</v>
      </c>
      <c r="D21" s="50" t="n">
        <v>7869</v>
      </c>
      <c r="E21" s="50" t="n">
        <v>517</v>
      </c>
      <c r="F21" s="50" t="n">
        <v>562</v>
      </c>
      <c r="G21" s="50" t="n">
        <v>1997</v>
      </c>
      <c r="H21" s="50" t="n">
        <v>0</v>
      </c>
      <c r="I21" s="72" t="n">
        <f aca="false">SUM(D21:H21)</f>
        <v>10945</v>
      </c>
      <c r="J21" s="73" t="str">
        <f aca="false">IF(I21&gt;$B$5,"OVER","")</f>
        <v/>
      </c>
    </row>
    <row r="22" customFormat="false" ht="15" hidden="false" customHeight="true" outlineLevel="0" collapsed="false">
      <c r="A22" s="47" t="s">
        <v>392</v>
      </c>
      <c r="B22" s="47" t="s">
        <v>393</v>
      </c>
      <c r="C22" s="71" t="s">
        <v>73</v>
      </c>
      <c r="D22" s="50" t="n">
        <v>6000</v>
      </c>
      <c r="E22" s="50" t="n">
        <v>517</v>
      </c>
      <c r="F22" s="50" t="n">
        <v>0</v>
      </c>
      <c r="G22" s="50" t="n">
        <v>636</v>
      </c>
      <c r="H22" s="50" t="n">
        <v>2931</v>
      </c>
      <c r="I22" s="72" t="n">
        <f aca="false">SUM(D22:H22)</f>
        <v>10084</v>
      </c>
      <c r="J22" s="73" t="str">
        <f aca="false">IF(I22&gt;$B$5,"OVER","")</f>
        <v/>
      </c>
    </row>
    <row r="23" customFormat="false" ht="15" hidden="false" customHeight="true" outlineLevel="0" collapsed="false">
      <c r="A23" s="47" t="s">
        <v>394</v>
      </c>
      <c r="B23" s="47" t="s">
        <v>395</v>
      </c>
      <c r="C23" s="71" t="s">
        <v>71</v>
      </c>
      <c r="D23" s="50" t="n">
        <v>0</v>
      </c>
      <c r="E23" s="50" t="n">
        <v>450</v>
      </c>
      <c r="F23" s="50" t="n">
        <v>0</v>
      </c>
      <c r="G23" s="50" t="n">
        <v>9470</v>
      </c>
      <c r="H23" s="50" t="n">
        <v>0</v>
      </c>
      <c r="I23" s="72" t="n">
        <f aca="false">SUM(D23:H23)</f>
        <v>9920</v>
      </c>
      <c r="J23" s="73" t="str">
        <f aca="false">IF(I23&gt;$B$5,"OVER","")</f>
        <v/>
      </c>
    </row>
    <row r="24" customFormat="false" ht="15" hidden="false" customHeight="true" outlineLevel="0" collapsed="false">
      <c r="A24" s="47" t="s">
        <v>396</v>
      </c>
      <c r="B24" s="47" t="s">
        <v>397</v>
      </c>
      <c r="C24" s="71" t="s">
        <v>71</v>
      </c>
      <c r="D24" s="50" t="n">
        <v>7300</v>
      </c>
      <c r="E24" s="50" t="n">
        <v>1225</v>
      </c>
      <c r="F24" s="50" t="n">
        <v>0</v>
      </c>
      <c r="G24" s="50" t="n">
        <v>0</v>
      </c>
      <c r="H24" s="50" t="n">
        <v>0</v>
      </c>
      <c r="I24" s="72" t="n">
        <f aca="false">SUM(D24:H24)</f>
        <v>8525</v>
      </c>
      <c r="J24" s="73" t="str">
        <f aca="false">IF(I24&gt;$B$5,"OVER","")</f>
        <v/>
      </c>
    </row>
    <row r="25" customFormat="false" ht="15" hidden="false" customHeight="true" outlineLevel="0" collapsed="false">
      <c r="A25" s="47" t="s">
        <v>398</v>
      </c>
      <c r="B25" s="47" t="s">
        <v>399</v>
      </c>
      <c r="C25" s="71" t="s">
        <v>73</v>
      </c>
      <c r="D25" s="50" t="n">
        <v>6000</v>
      </c>
      <c r="E25" s="50" t="n">
        <v>1225</v>
      </c>
      <c r="F25" s="50" t="n">
        <v>0</v>
      </c>
      <c r="G25" s="50" t="n">
        <v>109</v>
      </c>
      <c r="H25" s="50" t="n">
        <v>116</v>
      </c>
      <c r="I25" s="72" t="n">
        <f aca="false">SUM(D25:H25)</f>
        <v>7450</v>
      </c>
      <c r="J25" s="73" t="str">
        <f aca="false">IF(I25&gt;$B$5,"OVER","")</f>
        <v/>
      </c>
    </row>
    <row r="26" customFormat="false" ht="15" hidden="false" customHeight="true" outlineLevel="0" collapsed="false">
      <c r="A26" s="47" t="s">
        <v>400</v>
      </c>
      <c r="B26" s="47" t="s">
        <v>401</v>
      </c>
      <c r="C26" s="71" t="s">
        <v>73</v>
      </c>
      <c r="D26" s="50" t="n">
        <v>3500</v>
      </c>
      <c r="E26" s="50" t="n">
        <v>1292</v>
      </c>
      <c r="F26" s="50" t="n">
        <v>0</v>
      </c>
      <c r="G26" s="50" t="n">
        <v>17</v>
      </c>
      <c r="H26" s="50" t="n">
        <v>2633</v>
      </c>
      <c r="I26" s="72" t="n">
        <f aca="false">SUM(D26:H26)</f>
        <v>7442</v>
      </c>
      <c r="J26" s="73" t="str">
        <f aca="false">IF(I26&gt;$B$5,"OVER","")</f>
        <v/>
      </c>
    </row>
    <row r="27" customFormat="false" ht="15" hidden="false" customHeight="true" outlineLevel="0" collapsed="false">
      <c r="A27" s="47" t="s">
        <v>402</v>
      </c>
      <c r="B27" s="47" t="s">
        <v>403</v>
      </c>
      <c r="C27" s="71" t="s">
        <v>73</v>
      </c>
      <c r="D27" s="50" t="n">
        <v>6000</v>
      </c>
      <c r="E27" s="50" t="n">
        <v>517</v>
      </c>
      <c r="F27" s="50" t="n">
        <v>0</v>
      </c>
      <c r="G27" s="50" t="n">
        <v>90</v>
      </c>
      <c r="H27" s="50" t="n">
        <v>145</v>
      </c>
      <c r="I27" s="72" t="n">
        <f aca="false">SUM(D27:H27)</f>
        <v>6752</v>
      </c>
      <c r="J27" s="73" t="str">
        <f aca="false">IF(I27&gt;$B$5,"OVER","")</f>
        <v/>
      </c>
    </row>
    <row r="28" customFormat="false" ht="15" hidden="false" customHeight="true" outlineLevel="0" collapsed="false">
      <c r="A28" s="47" t="s">
        <v>404</v>
      </c>
      <c r="B28" s="47" t="s">
        <v>405</v>
      </c>
      <c r="C28" s="71" t="s">
        <v>73</v>
      </c>
      <c r="D28" s="50" t="n">
        <v>3000</v>
      </c>
      <c r="E28" s="50" t="n">
        <v>775</v>
      </c>
      <c r="F28" s="50" t="n">
        <v>0</v>
      </c>
      <c r="G28" s="50" t="n">
        <v>402</v>
      </c>
      <c r="H28" s="50" t="n">
        <v>2416</v>
      </c>
      <c r="I28" s="72" t="n">
        <f aca="false">SUM(D28:H28)</f>
        <v>6593</v>
      </c>
      <c r="J28" s="73" t="str">
        <f aca="false">IF(I28&gt;$B$5,"OVER","")</f>
        <v/>
      </c>
    </row>
    <row r="29" customFormat="false" ht="15" hidden="false" customHeight="true" outlineLevel="0" collapsed="false">
      <c r="A29" s="47" t="s">
        <v>406</v>
      </c>
      <c r="B29" s="47" t="s">
        <v>407</v>
      </c>
      <c r="C29" s="71" t="s">
        <v>75</v>
      </c>
      <c r="D29" s="50" t="n">
        <v>4000</v>
      </c>
      <c r="E29" s="50" t="n">
        <v>1338</v>
      </c>
      <c r="F29" s="50" t="n">
        <v>0</v>
      </c>
      <c r="G29" s="50" t="n">
        <v>56</v>
      </c>
      <c r="H29" s="50" t="n">
        <v>1042</v>
      </c>
      <c r="I29" s="72" t="n">
        <f aca="false">SUM(D29:H29)</f>
        <v>6436</v>
      </c>
      <c r="J29" s="73" t="str">
        <f aca="false">IF(I29&gt;$B$5,"OVER","")</f>
        <v/>
      </c>
    </row>
    <row r="30" customFormat="false" ht="15" hidden="false" customHeight="true" outlineLevel="0" collapsed="false">
      <c r="A30" s="47" t="s">
        <v>408</v>
      </c>
      <c r="B30" s="47" t="s">
        <v>409</v>
      </c>
      <c r="C30" s="71" t="s">
        <v>73</v>
      </c>
      <c r="D30" s="50" t="n">
        <v>3500</v>
      </c>
      <c r="E30" s="50" t="n">
        <v>1338</v>
      </c>
      <c r="F30" s="50" t="n">
        <v>0</v>
      </c>
      <c r="G30" s="50" t="n">
        <v>18</v>
      </c>
      <c r="H30" s="50" t="n">
        <v>17</v>
      </c>
      <c r="I30" s="72" t="n">
        <f aca="false">SUM(D30:H30)</f>
        <v>4873</v>
      </c>
      <c r="J30" s="73" t="str">
        <f aca="false">IF(I30&gt;$B$5,"OVER","")</f>
        <v/>
      </c>
    </row>
    <row r="31" customFormat="false" ht="15" hidden="false" customHeight="true" outlineLevel="0" collapsed="false">
      <c r="A31" s="47" t="s">
        <v>410</v>
      </c>
      <c r="B31" s="47" t="s">
        <v>411</v>
      </c>
      <c r="C31" s="71" t="s">
        <v>73</v>
      </c>
      <c r="D31" s="50" t="n">
        <v>4000</v>
      </c>
      <c r="E31" s="50" t="n">
        <v>0</v>
      </c>
      <c r="F31" s="50" t="n">
        <v>562</v>
      </c>
      <c r="G31" s="50" t="n">
        <v>0</v>
      </c>
      <c r="H31" s="50" t="n">
        <v>0</v>
      </c>
      <c r="I31" s="72" t="n">
        <f aca="false">SUM(D31:H31)</f>
        <v>4562</v>
      </c>
      <c r="J31" s="73" t="str">
        <f aca="false">IF(I31&gt;$B$5,"OVER","")</f>
        <v/>
      </c>
    </row>
    <row r="32" customFormat="false" ht="15" hidden="false" customHeight="true" outlineLevel="0" collapsed="false">
      <c r="A32" s="47" t="s">
        <v>412</v>
      </c>
      <c r="B32" s="47" t="s">
        <v>413</v>
      </c>
      <c r="C32" s="71" t="s">
        <v>71</v>
      </c>
      <c r="D32" s="50" t="n">
        <v>4000</v>
      </c>
      <c r="E32" s="50" t="n">
        <v>517</v>
      </c>
      <c r="F32" s="50" t="n">
        <v>0</v>
      </c>
      <c r="G32" s="50" t="n">
        <v>0</v>
      </c>
      <c r="H32" s="50" t="n">
        <v>0</v>
      </c>
      <c r="I32" s="72" t="n">
        <f aca="false">SUM(D32:H32)</f>
        <v>4517</v>
      </c>
      <c r="J32" s="73" t="str">
        <f aca="false">IF(I32&gt;$B$5,"OVER","")</f>
        <v/>
      </c>
    </row>
    <row r="33" customFormat="false" ht="15" hidden="false" customHeight="true" outlineLevel="0" collapsed="false">
      <c r="A33" s="47" t="s">
        <v>414</v>
      </c>
      <c r="B33" s="47" t="s">
        <v>415</v>
      </c>
      <c r="C33" s="71" t="s">
        <v>71</v>
      </c>
      <c r="D33" s="50" t="n">
        <v>3000</v>
      </c>
      <c r="E33" s="50" t="n">
        <v>1225</v>
      </c>
      <c r="F33" s="50" t="n">
        <v>0</v>
      </c>
      <c r="G33" s="50" t="n">
        <v>0</v>
      </c>
      <c r="H33" s="50" t="n">
        <v>0</v>
      </c>
      <c r="I33" s="72" t="n">
        <f aca="false">SUM(D33:H33)</f>
        <v>4225</v>
      </c>
      <c r="J33" s="73" t="str">
        <f aca="false">IF(I33&gt;$B$5,"OVER","")</f>
        <v/>
      </c>
    </row>
    <row r="34" customFormat="false" ht="15" hidden="false" customHeight="true" outlineLevel="0" collapsed="false">
      <c r="A34" s="47" t="s">
        <v>416</v>
      </c>
      <c r="B34" s="47" t="s">
        <v>417</v>
      </c>
      <c r="C34" s="71" t="s">
        <v>75</v>
      </c>
      <c r="D34" s="50" t="n">
        <v>3000</v>
      </c>
      <c r="E34" s="50" t="n">
        <v>775</v>
      </c>
      <c r="F34" s="50" t="n">
        <v>0</v>
      </c>
      <c r="G34" s="50" t="n">
        <v>50</v>
      </c>
      <c r="H34" s="50" t="n">
        <v>325</v>
      </c>
      <c r="I34" s="72" t="n">
        <f aca="false">SUM(D34:H34)</f>
        <v>4150</v>
      </c>
      <c r="J34" s="73" t="str">
        <f aca="false">IF(I34&gt;$B$5,"OVER","")</f>
        <v/>
      </c>
    </row>
    <row r="35" customFormat="false" ht="15" hidden="false" customHeight="true" outlineLevel="0" collapsed="false">
      <c r="A35" s="47" t="s">
        <v>418</v>
      </c>
      <c r="B35" s="47" t="s">
        <v>419</v>
      </c>
      <c r="C35" s="71" t="s">
        <v>73</v>
      </c>
      <c r="D35" s="50" t="n">
        <v>2500</v>
      </c>
      <c r="E35" s="50" t="n">
        <v>1225</v>
      </c>
      <c r="F35" s="50" t="n">
        <v>0</v>
      </c>
      <c r="G35" s="50" t="n">
        <v>30</v>
      </c>
      <c r="H35" s="50" t="n">
        <v>266</v>
      </c>
      <c r="I35" s="72" t="n">
        <f aca="false">SUM(D35:H35)</f>
        <v>4021</v>
      </c>
      <c r="J35" s="73" t="str">
        <f aca="false">IF(I35&gt;$B$5,"OVER","")</f>
        <v/>
      </c>
    </row>
    <row r="36" customFormat="false" ht="15" hidden="false" customHeight="true" outlineLevel="0" collapsed="false">
      <c r="A36" s="47" t="s">
        <v>420</v>
      </c>
      <c r="B36" s="47" t="s">
        <v>421</v>
      </c>
      <c r="C36" s="71" t="s">
        <v>75</v>
      </c>
      <c r="D36" s="50" t="n">
        <v>3500</v>
      </c>
      <c r="E36" s="50" t="n">
        <v>517</v>
      </c>
      <c r="F36" s="50" t="n">
        <v>0</v>
      </c>
      <c r="G36" s="50" t="n">
        <v>0</v>
      </c>
      <c r="H36" s="50" t="n">
        <v>0</v>
      </c>
      <c r="I36" s="72" t="n">
        <f aca="false">SUM(D36:H36)</f>
        <v>4017</v>
      </c>
      <c r="J36" s="73" t="str">
        <f aca="false">IF(I36&gt;$B$5,"OVER","")</f>
        <v/>
      </c>
    </row>
    <row r="37" customFormat="false" ht="15" hidden="false" customHeight="true" outlineLevel="0" collapsed="false">
      <c r="A37" s="47" t="s">
        <v>422</v>
      </c>
      <c r="B37" s="47" t="s">
        <v>423</v>
      </c>
      <c r="C37" s="71" t="s">
        <v>73</v>
      </c>
      <c r="D37" s="50" t="n">
        <v>3500</v>
      </c>
      <c r="E37" s="50" t="n">
        <v>450</v>
      </c>
      <c r="F37" s="50" t="n">
        <v>0</v>
      </c>
      <c r="G37" s="50" t="n">
        <v>0</v>
      </c>
      <c r="H37" s="50" t="n">
        <v>0</v>
      </c>
      <c r="I37" s="72" t="n">
        <f aca="false">SUM(D37:H37)</f>
        <v>3950</v>
      </c>
      <c r="J37" s="73" t="str">
        <f aca="false">IF(I37&gt;$B$5,"OVER","")</f>
        <v/>
      </c>
    </row>
    <row r="38" customFormat="false" ht="15" hidden="false" customHeight="true" outlineLevel="0" collapsed="false">
      <c r="A38" s="47" t="s">
        <v>424</v>
      </c>
      <c r="B38" s="47" t="s">
        <v>425</v>
      </c>
      <c r="C38" s="71" t="s">
        <v>73</v>
      </c>
      <c r="D38" s="50" t="n">
        <v>2500</v>
      </c>
      <c r="E38" s="50" t="n">
        <v>1338</v>
      </c>
      <c r="F38" s="50" t="n">
        <v>0</v>
      </c>
      <c r="G38" s="50" t="n">
        <v>0</v>
      </c>
      <c r="H38" s="50" t="n">
        <v>83</v>
      </c>
      <c r="I38" s="72" t="n">
        <f aca="false">SUM(D38:H38)</f>
        <v>3921</v>
      </c>
      <c r="J38" s="73" t="str">
        <f aca="false">IF(I38&gt;$B$5,"OVER","")</f>
        <v/>
      </c>
    </row>
    <row r="39" customFormat="false" ht="15" hidden="false" customHeight="true" outlineLevel="0" collapsed="false">
      <c r="A39" s="47" t="s">
        <v>426</v>
      </c>
      <c r="B39" s="47" t="s">
        <v>427</v>
      </c>
      <c r="C39" s="71" t="s">
        <v>73</v>
      </c>
      <c r="D39" s="50" t="n">
        <v>2500</v>
      </c>
      <c r="E39" s="50" t="n">
        <v>775</v>
      </c>
      <c r="F39" s="50" t="n">
        <v>0</v>
      </c>
      <c r="G39" s="50" t="n">
        <v>489</v>
      </c>
      <c r="H39" s="50" t="n">
        <v>115</v>
      </c>
      <c r="I39" s="72" t="n">
        <f aca="false">SUM(D39:H39)</f>
        <v>3879</v>
      </c>
      <c r="J39" s="73" t="str">
        <f aca="false">IF(I39&gt;$B$5,"OVER","")</f>
        <v/>
      </c>
    </row>
    <row r="40" customFormat="false" ht="15" hidden="false" customHeight="true" outlineLevel="0" collapsed="false">
      <c r="A40" s="47" t="s">
        <v>428</v>
      </c>
      <c r="B40" s="47" t="s">
        <v>429</v>
      </c>
      <c r="C40" s="71" t="s">
        <v>75</v>
      </c>
      <c r="D40" s="50" t="n">
        <v>2500</v>
      </c>
      <c r="E40" s="50" t="n">
        <v>775</v>
      </c>
      <c r="F40" s="50" t="n">
        <v>0</v>
      </c>
      <c r="G40" s="50" t="n">
        <v>30</v>
      </c>
      <c r="H40" s="50" t="n">
        <v>573</v>
      </c>
      <c r="I40" s="72" t="n">
        <f aca="false">SUM(D40:H40)</f>
        <v>3878</v>
      </c>
      <c r="J40" s="73" t="str">
        <f aca="false">IF(I40&gt;$B$5,"OVER","")</f>
        <v/>
      </c>
    </row>
    <row r="41" customFormat="false" ht="15" hidden="false" customHeight="true" outlineLevel="0" collapsed="false">
      <c r="A41" s="47" t="s">
        <v>430</v>
      </c>
      <c r="B41" s="47" t="s">
        <v>431</v>
      </c>
      <c r="C41" s="71" t="s">
        <v>75</v>
      </c>
      <c r="D41" s="50" t="n">
        <v>2500</v>
      </c>
      <c r="E41" s="50" t="n">
        <v>775</v>
      </c>
      <c r="F41" s="50" t="n">
        <v>562</v>
      </c>
      <c r="G41" s="50" t="n">
        <v>0</v>
      </c>
      <c r="H41" s="50" t="n">
        <v>0</v>
      </c>
      <c r="I41" s="72" t="n">
        <f aca="false">SUM(D41:H41)</f>
        <v>3837</v>
      </c>
      <c r="J41" s="73" t="str">
        <f aca="false">IF(I41&gt;$B$5,"OVER","")</f>
        <v/>
      </c>
    </row>
    <row r="42" customFormat="false" ht="15" hidden="false" customHeight="true" outlineLevel="0" collapsed="false">
      <c r="A42" s="47" t="s">
        <v>432</v>
      </c>
      <c r="B42" s="47" t="s">
        <v>433</v>
      </c>
      <c r="C42" s="71" t="s">
        <v>75</v>
      </c>
      <c r="D42" s="50" t="n">
        <v>3000</v>
      </c>
      <c r="E42" s="50" t="n">
        <v>775</v>
      </c>
      <c r="F42" s="50" t="n">
        <v>0</v>
      </c>
      <c r="G42" s="50" t="n">
        <v>0</v>
      </c>
      <c r="H42" s="50" t="n">
        <v>0</v>
      </c>
      <c r="I42" s="72" t="n">
        <f aca="false">SUM(D42:H42)</f>
        <v>3775</v>
      </c>
      <c r="J42" s="73" t="str">
        <f aca="false">IF(I42&gt;$B$5,"OVER","")</f>
        <v/>
      </c>
    </row>
    <row r="43" customFormat="false" ht="15" hidden="false" customHeight="true" outlineLevel="0" collapsed="false">
      <c r="A43" s="47" t="s">
        <v>434</v>
      </c>
      <c r="B43" s="47" t="s">
        <v>435</v>
      </c>
      <c r="C43" s="71" t="s">
        <v>73</v>
      </c>
      <c r="D43" s="50" t="n">
        <v>2500</v>
      </c>
      <c r="E43" s="50" t="n">
        <v>517</v>
      </c>
      <c r="F43" s="50" t="n">
        <v>0</v>
      </c>
      <c r="G43" s="50" t="n">
        <v>582</v>
      </c>
      <c r="H43" s="50" t="n">
        <v>45</v>
      </c>
      <c r="I43" s="72" t="n">
        <f aca="false">SUM(D43:H43)</f>
        <v>3644</v>
      </c>
      <c r="J43" s="73" t="str">
        <f aca="false">IF(I43&gt;$B$5,"OVER","")</f>
        <v/>
      </c>
    </row>
    <row r="44" customFormat="false" ht="15" hidden="false" customHeight="true" outlineLevel="0" collapsed="false">
      <c r="A44" s="47" t="s">
        <v>436</v>
      </c>
      <c r="B44" s="47" t="s">
        <v>435</v>
      </c>
      <c r="C44" s="71" t="s">
        <v>73</v>
      </c>
      <c r="D44" s="50" t="n">
        <v>2500</v>
      </c>
      <c r="E44" s="50" t="n">
        <v>775</v>
      </c>
      <c r="F44" s="50" t="n">
        <v>0</v>
      </c>
      <c r="G44" s="50" t="n">
        <v>226</v>
      </c>
      <c r="H44" s="50" t="n">
        <v>114</v>
      </c>
      <c r="I44" s="72" t="n">
        <f aca="false">SUM(D44:H44)</f>
        <v>3615</v>
      </c>
      <c r="J44" s="73" t="str">
        <f aca="false">IF(I44&gt;$B$5,"OVER","")</f>
        <v/>
      </c>
    </row>
    <row r="45" customFormat="false" ht="15" hidden="false" customHeight="true" outlineLevel="0" collapsed="false">
      <c r="A45" s="47" t="s">
        <v>437</v>
      </c>
      <c r="B45" s="47" t="s">
        <v>438</v>
      </c>
      <c r="C45" s="71" t="s">
        <v>73</v>
      </c>
      <c r="D45" s="50" t="n">
        <v>3000</v>
      </c>
      <c r="E45" s="50" t="n">
        <v>0</v>
      </c>
      <c r="F45" s="50" t="n">
        <v>562</v>
      </c>
      <c r="G45" s="50" t="n">
        <v>0</v>
      </c>
      <c r="H45" s="50" t="n">
        <v>0</v>
      </c>
      <c r="I45" s="72" t="n">
        <f aca="false">SUM(D45:H45)</f>
        <v>3562</v>
      </c>
      <c r="J45" s="73" t="str">
        <f aca="false">IF(I45&gt;$B$5,"OVER","")</f>
        <v/>
      </c>
    </row>
    <row r="46" customFormat="false" ht="15" hidden="false" customHeight="true" outlineLevel="0" collapsed="false">
      <c r="A46" s="47" t="s">
        <v>439</v>
      </c>
      <c r="B46" s="47" t="s">
        <v>440</v>
      </c>
      <c r="C46" s="71" t="s">
        <v>75</v>
      </c>
      <c r="D46" s="50" t="n">
        <v>3000</v>
      </c>
      <c r="E46" s="50" t="n">
        <v>517</v>
      </c>
      <c r="F46" s="50" t="n">
        <v>0</v>
      </c>
      <c r="G46" s="50" t="n">
        <v>0</v>
      </c>
      <c r="H46" s="50" t="n">
        <v>38</v>
      </c>
      <c r="I46" s="72" t="n">
        <f aca="false">SUM(D46:H46)</f>
        <v>3555</v>
      </c>
      <c r="J46" s="73" t="str">
        <f aca="false">IF(I46&gt;$B$5,"OVER","")</f>
        <v/>
      </c>
    </row>
    <row r="47" customFormat="false" ht="15" hidden="false" customHeight="true" outlineLevel="0" collapsed="false">
      <c r="A47" s="47" t="s">
        <v>441</v>
      </c>
      <c r="B47" s="47" t="s">
        <v>442</v>
      </c>
      <c r="C47" s="71" t="s">
        <v>71</v>
      </c>
      <c r="D47" s="50" t="n">
        <v>2500</v>
      </c>
      <c r="E47" s="50" t="n">
        <v>1034</v>
      </c>
      <c r="F47" s="50" t="n">
        <v>0</v>
      </c>
      <c r="G47" s="50" t="n">
        <v>0</v>
      </c>
      <c r="H47" s="50" t="n">
        <v>0</v>
      </c>
      <c r="I47" s="72" t="n">
        <f aca="false">SUM(D47:H47)</f>
        <v>3534</v>
      </c>
      <c r="J47" s="73" t="str">
        <f aca="false">IF(I47&gt;$B$5,"OVER","")</f>
        <v/>
      </c>
    </row>
    <row r="48" customFormat="false" ht="15" hidden="false" customHeight="true" outlineLevel="0" collapsed="false">
      <c r="A48" s="47" t="s">
        <v>443</v>
      </c>
      <c r="B48" s="47" t="s">
        <v>444</v>
      </c>
      <c r="C48" s="71" t="s">
        <v>71</v>
      </c>
      <c r="D48" s="50" t="n">
        <v>3000</v>
      </c>
      <c r="E48" s="50" t="n">
        <v>517</v>
      </c>
      <c r="F48" s="50" t="n">
        <v>0</v>
      </c>
      <c r="G48" s="50" t="n">
        <v>0</v>
      </c>
      <c r="H48" s="50" t="n">
        <v>0</v>
      </c>
      <c r="I48" s="72" t="n">
        <f aca="false">SUM(D48:H48)</f>
        <v>3517</v>
      </c>
      <c r="J48" s="73" t="str">
        <f aca="false">IF(I48&gt;$B$5,"OVER","")</f>
        <v/>
      </c>
    </row>
    <row r="49" customFormat="false" ht="15" hidden="false" customHeight="true" outlineLevel="0" collapsed="false">
      <c r="A49" s="47" t="s">
        <v>445</v>
      </c>
      <c r="B49" s="47" t="s">
        <v>446</v>
      </c>
      <c r="C49" s="71" t="s">
        <v>71</v>
      </c>
      <c r="D49" s="50" t="n">
        <v>3000</v>
      </c>
      <c r="E49" s="50" t="n">
        <v>517</v>
      </c>
      <c r="F49" s="50" t="n">
        <v>0</v>
      </c>
      <c r="G49" s="50" t="n">
        <v>0</v>
      </c>
      <c r="H49" s="50" t="n">
        <v>0</v>
      </c>
      <c r="I49" s="72" t="n">
        <f aca="false">SUM(D49:H49)</f>
        <v>3517</v>
      </c>
      <c r="J49" s="73" t="str">
        <f aca="false">IF(I49&gt;$B$5,"OVER","")</f>
        <v/>
      </c>
    </row>
    <row r="50" customFormat="false" ht="15" hidden="false" customHeight="true" outlineLevel="0" collapsed="false">
      <c r="A50" s="47" t="s">
        <v>447</v>
      </c>
      <c r="B50" s="47" t="s">
        <v>448</v>
      </c>
      <c r="C50" s="71" t="s">
        <v>75</v>
      </c>
      <c r="D50" s="50" t="n">
        <v>3000</v>
      </c>
      <c r="E50" s="50" t="n">
        <v>517</v>
      </c>
      <c r="F50" s="50" t="n">
        <v>0</v>
      </c>
      <c r="G50" s="50" t="n">
        <v>0</v>
      </c>
      <c r="H50" s="50" t="n">
        <v>0</v>
      </c>
      <c r="I50" s="72" t="n">
        <f aca="false">SUM(D50:H50)</f>
        <v>3517</v>
      </c>
      <c r="J50" s="73" t="str">
        <f aca="false">IF(I50&gt;$B$5,"OVER","")</f>
        <v/>
      </c>
    </row>
    <row r="51" customFormat="false" ht="15" hidden="false" customHeight="true" outlineLevel="0" collapsed="false">
      <c r="A51" s="47" t="s">
        <v>449</v>
      </c>
      <c r="B51" s="47" t="s">
        <v>450</v>
      </c>
      <c r="C51" s="71" t="s">
        <v>75</v>
      </c>
      <c r="D51" s="50" t="n">
        <v>3000</v>
      </c>
      <c r="E51" s="50" t="n">
        <v>517</v>
      </c>
      <c r="F51" s="50" t="n">
        <v>0</v>
      </c>
      <c r="G51" s="50" t="n">
        <v>0</v>
      </c>
      <c r="H51" s="50" t="n">
        <v>0</v>
      </c>
      <c r="I51" s="72" t="n">
        <f aca="false">SUM(D51:H51)</f>
        <v>3517</v>
      </c>
      <c r="J51" s="73" t="str">
        <f aca="false">IF(I51&gt;$B$5,"OVER","")</f>
        <v/>
      </c>
    </row>
    <row r="52" customFormat="false" ht="15" hidden="false" customHeight="true" outlineLevel="0" collapsed="false">
      <c r="A52" s="47" t="s">
        <v>451</v>
      </c>
      <c r="B52" s="47" t="s">
        <v>452</v>
      </c>
      <c r="C52" s="71" t="s">
        <v>71</v>
      </c>
      <c r="D52" s="50" t="n">
        <v>3500</v>
      </c>
      <c r="E52" s="50" t="n">
        <v>0</v>
      </c>
      <c r="F52" s="50" t="n">
        <v>0</v>
      </c>
      <c r="G52" s="50" t="n">
        <v>0</v>
      </c>
      <c r="H52" s="50" t="n">
        <v>0</v>
      </c>
      <c r="I52" s="72" t="n">
        <f aca="false">SUM(D52:H52)</f>
        <v>3500</v>
      </c>
      <c r="J52" s="73" t="str">
        <f aca="false">IF(I52&gt;$B$5,"OVER","")</f>
        <v/>
      </c>
    </row>
    <row r="53" customFormat="false" ht="15" hidden="false" customHeight="true" outlineLevel="0" collapsed="false">
      <c r="A53" s="47" t="s">
        <v>453</v>
      </c>
      <c r="B53" s="47" t="s">
        <v>454</v>
      </c>
      <c r="C53" s="71" t="s">
        <v>75</v>
      </c>
      <c r="D53" s="50" t="n">
        <v>2500</v>
      </c>
      <c r="E53" s="50" t="n">
        <v>967</v>
      </c>
      <c r="F53" s="50" t="n">
        <v>0</v>
      </c>
      <c r="G53" s="50" t="n">
        <v>0</v>
      </c>
      <c r="H53" s="50" t="n">
        <v>0</v>
      </c>
      <c r="I53" s="72" t="n">
        <f aca="false">SUM(D53:H53)</f>
        <v>3467</v>
      </c>
      <c r="J53" s="73" t="str">
        <f aca="false">IF(I53&gt;$B$5,"OVER","")</f>
        <v/>
      </c>
    </row>
    <row r="54" customFormat="false" ht="15" hidden="false" customHeight="true" outlineLevel="0" collapsed="false">
      <c r="A54" s="47" t="s">
        <v>455</v>
      </c>
      <c r="B54" s="47" t="s">
        <v>456</v>
      </c>
      <c r="C54" s="71" t="s">
        <v>73</v>
      </c>
      <c r="D54" s="50" t="n">
        <v>3000</v>
      </c>
      <c r="E54" s="50" t="n">
        <v>450</v>
      </c>
      <c r="F54" s="50" t="n">
        <v>0</v>
      </c>
      <c r="G54" s="50" t="n">
        <v>0</v>
      </c>
      <c r="H54" s="50" t="n">
        <v>0</v>
      </c>
      <c r="I54" s="72" t="n">
        <f aca="false">SUM(D54:H54)</f>
        <v>3450</v>
      </c>
      <c r="J54" s="73" t="str">
        <f aca="false">IF(I54&gt;$B$5,"OVER","")</f>
        <v/>
      </c>
    </row>
    <row r="55" customFormat="false" ht="15" hidden="false" customHeight="true" outlineLevel="0" collapsed="false">
      <c r="A55" s="47" t="s">
        <v>457</v>
      </c>
      <c r="B55" s="47" t="s">
        <v>442</v>
      </c>
      <c r="C55" s="71" t="s">
        <v>75</v>
      </c>
      <c r="D55" s="50" t="n">
        <v>2500</v>
      </c>
      <c r="E55" s="50" t="n">
        <v>775</v>
      </c>
      <c r="F55" s="50" t="n">
        <v>0</v>
      </c>
      <c r="G55" s="50" t="n">
        <v>0</v>
      </c>
      <c r="H55" s="50" t="n">
        <v>0</v>
      </c>
      <c r="I55" s="72" t="n">
        <f aca="false">SUM(D55:H55)</f>
        <v>3275</v>
      </c>
      <c r="J55" s="73" t="str">
        <f aca="false">IF(I55&gt;$B$5,"OVER","")</f>
        <v/>
      </c>
    </row>
    <row r="56" customFormat="false" ht="15" hidden="false" customHeight="true" outlineLevel="0" collapsed="false">
      <c r="A56" s="47" t="s">
        <v>458</v>
      </c>
      <c r="B56" s="47" t="s">
        <v>459</v>
      </c>
      <c r="C56" s="71" t="s">
        <v>71</v>
      </c>
      <c r="D56" s="50" t="n">
        <v>2500</v>
      </c>
      <c r="E56" s="50" t="n">
        <v>775</v>
      </c>
      <c r="F56" s="50" t="n">
        <v>0</v>
      </c>
      <c r="G56" s="50" t="n">
        <v>0</v>
      </c>
      <c r="H56" s="50" t="n">
        <v>0</v>
      </c>
      <c r="I56" s="72" t="n">
        <f aca="false">SUM(D56:H56)</f>
        <v>3275</v>
      </c>
      <c r="J56" s="73" t="str">
        <f aca="false">IF(I56&gt;$B$5,"OVER","")</f>
        <v/>
      </c>
    </row>
    <row r="57" customFormat="false" ht="15" hidden="false" customHeight="true" outlineLevel="0" collapsed="false">
      <c r="A57" s="47" t="s">
        <v>460</v>
      </c>
      <c r="B57" s="47" t="s">
        <v>461</v>
      </c>
      <c r="C57" s="71" t="s">
        <v>73</v>
      </c>
      <c r="D57" s="50" t="n">
        <v>0</v>
      </c>
      <c r="E57" s="50" t="n">
        <v>775</v>
      </c>
      <c r="F57" s="50" t="n">
        <v>0</v>
      </c>
      <c r="G57" s="50" t="n">
        <v>2413</v>
      </c>
      <c r="H57" s="50" t="n">
        <v>0</v>
      </c>
      <c r="I57" s="72" t="n">
        <f aca="false">SUM(D57:H57)</f>
        <v>3188</v>
      </c>
      <c r="J57" s="73" t="str">
        <f aca="false">IF(I57&gt;$B$5,"OVER","")</f>
        <v/>
      </c>
    </row>
    <row r="58" customFormat="false" ht="15" hidden="false" customHeight="true" outlineLevel="0" collapsed="false">
      <c r="A58" s="47" t="s">
        <v>462</v>
      </c>
      <c r="B58" s="47" t="s">
        <v>463</v>
      </c>
      <c r="C58" s="71" t="s">
        <v>73</v>
      </c>
      <c r="D58" s="50" t="n">
        <v>2500</v>
      </c>
      <c r="E58" s="50" t="n">
        <v>517</v>
      </c>
      <c r="F58" s="50" t="n">
        <v>0</v>
      </c>
      <c r="G58" s="50" t="n">
        <v>0</v>
      </c>
      <c r="H58" s="50" t="n">
        <v>0</v>
      </c>
      <c r="I58" s="72" t="n">
        <f aca="false">SUM(D58:H58)</f>
        <v>3017</v>
      </c>
      <c r="J58" s="73" t="str">
        <f aca="false">IF(I58&gt;$B$5,"OVER","")</f>
        <v/>
      </c>
    </row>
    <row r="59" customFormat="false" ht="15" hidden="false" customHeight="true" outlineLevel="0" collapsed="false">
      <c r="A59" s="47" t="s">
        <v>464</v>
      </c>
      <c r="B59" s="47" t="s">
        <v>465</v>
      </c>
      <c r="C59" s="71" t="s">
        <v>71</v>
      </c>
      <c r="D59" s="50" t="n">
        <v>2500</v>
      </c>
      <c r="E59" s="50" t="n">
        <v>517</v>
      </c>
      <c r="F59" s="50" t="n">
        <v>0</v>
      </c>
      <c r="G59" s="50" t="n">
        <v>0</v>
      </c>
      <c r="H59" s="50" t="n">
        <v>0</v>
      </c>
      <c r="I59" s="72" t="n">
        <f aca="false">SUM(D59:H59)</f>
        <v>3017</v>
      </c>
      <c r="J59" s="73" t="str">
        <f aca="false">IF(I59&gt;$B$5,"OVER","")</f>
        <v/>
      </c>
    </row>
    <row r="60" customFormat="false" ht="15" hidden="false" customHeight="true" outlineLevel="0" collapsed="false">
      <c r="A60" s="47" t="s">
        <v>466</v>
      </c>
      <c r="B60" s="47" t="s">
        <v>467</v>
      </c>
      <c r="C60" s="71" t="s">
        <v>71</v>
      </c>
      <c r="D60" s="50" t="n">
        <v>2500</v>
      </c>
      <c r="E60" s="50" t="n">
        <v>0</v>
      </c>
      <c r="F60" s="50" t="n">
        <v>0</v>
      </c>
      <c r="G60" s="50" t="n">
        <v>0</v>
      </c>
      <c r="H60" s="50" t="n">
        <v>0</v>
      </c>
      <c r="I60" s="72" t="n">
        <f aca="false">SUM(D60:H60)</f>
        <v>2500</v>
      </c>
      <c r="J60" s="73" t="str">
        <f aca="false">IF(I60&gt;$B$5,"OVER","")</f>
        <v/>
      </c>
    </row>
    <row r="61" customFormat="false" ht="15" hidden="false" customHeight="true" outlineLevel="0" collapsed="false">
      <c r="A61" s="47" t="s">
        <v>468</v>
      </c>
      <c r="B61" s="47" t="s">
        <v>469</v>
      </c>
      <c r="C61" s="71" t="s">
        <v>71</v>
      </c>
      <c r="D61" s="50" t="n">
        <v>0</v>
      </c>
      <c r="E61" s="50" t="n">
        <v>2304</v>
      </c>
      <c r="F61" s="50" t="n">
        <v>0</v>
      </c>
      <c r="G61" s="50" t="n">
        <v>0</v>
      </c>
      <c r="H61" s="50" t="n">
        <v>0</v>
      </c>
      <c r="I61" s="72" t="n">
        <f aca="false">SUM(D61:H61)</f>
        <v>2304</v>
      </c>
      <c r="J61" s="73" t="str">
        <f aca="false">IF(I61&gt;$B$5,"OVER","")</f>
        <v/>
      </c>
    </row>
    <row r="62" customFormat="false" ht="15" hidden="false" customHeight="true" outlineLevel="0" collapsed="false">
      <c r="A62" s="47" t="s">
        <v>470</v>
      </c>
      <c r="B62" s="47" t="s">
        <v>471</v>
      </c>
      <c r="C62" s="71" t="s">
        <v>71</v>
      </c>
      <c r="D62" s="50" t="n">
        <v>0</v>
      </c>
      <c r="E62" s="50" t="n">
        <v>1225</v>
      </c>
      <c r="F62" s="50" t="n">
        <v>0</v>
      </c>
      <c r="G62" s="50" t="n">
        <v>0</v>
      </c>
      <c r="H62" s="50" t="n">
        <v>0</v>
      </c>
      <c r="I62" s="72" t="n">
        <f aca="false">SUM(D62:H62)</f>
        <v>1225</v>
      </c>
      <c r="J62" s="73" t="str">
        <f aca="false">IF(I62&gt;$B$5,"OVER","")</f>
        <v/>
      </c>
    </row>
    <row r="63" customFormat="false" ht="15" hidden="false" customHeight="true" outlineLevel="0" collapsed="false">
      <c r="A63" s="47" t="s">
        <v>472</v>
      </c>
      <c r="B63" s="47" t="s">
        <v>473</v>
      </c>
      <c r="C63" s="71" t="s">
        <v>71</v>
      </c>
      <c r="D63" s="50" t="n">
        <v>0</v>
      </c>
      <c r="E63" s="50" t="n">
        <v>1012</v>
      </c>
      <c r="F63" s="50" t="n">
        <v>0</v>
      </c>
      <c r="G63" s="50" t="n">
        <v>0</v>
      </c>
      <c r="H63" s="50" t="n">
        <v>0</v>
      </c>
      <c r="I63" s="72" t="n">
        <f aca="false">SUM(D63:H63)</f>
        <v>1012</v>
      </c>
      <c r="J63" s="73" t="str">
        <f aca="false">IF(I63&gt;$B$5,"OVER","")</f>
        <v/>
      </c>
    </row>
    <row r="64" customFormat="false" ht="15" hidden="false" customHeight="true" outlineLevel="0" collapsed="false">
      <c r="A64" s="47" t="s">
        <v>474</v>
      </c>
      <c r="B64" s="47" t="s">
        <v>475</v>
      </c>
      <c r="C64" s="71" t="s">
        <v>371</v>
      </c>
      <c r="D64" s="50" t="n">
        <v>0</v>
      </c>
      <c r="E64" s="50" t="n">
        <v>450</v>
      </c>
      <c r="F64" s="50" t="n">
        <v>562</v>
      </c>
      <c r="G64" s="50" t="n">
        <v>0</v>
      </c>
      <c r="H64" s="50" t="n">
        <v>0</v>
      </c>
      <c r="I64" s="72" t="n">
        <f aca="false">SUM(D64:H64)</f>
        <v>1012</v>
      </c>
      <c r="J64" s="73" t="str">
        <f aca="false">IF(I64&gt;$B$5,"OVER","")</f>
        <v/>
      </c>
    </row>
    <row r="65" customFormat="false" ht="15" hidden="false" customHeight="true" outlineLevel="0" collapsed="false">
      <c r="A65" s="47" t="s">
        <v>476</v>
      </c>
      <c r="B65" s="47" t="s">
        <v>477</v>
      </c>
      <c r="C65" s="71" t="s">
        <v>71</v>
      </c>
      <c r="D65" s="50" t="n">
        <v>0</v>
      </c>
      <c r="E65" s="50" t="n">
        <v>967</v>
      </c>
      <c r="F65" s="50" t="n">
        <v>0</v>
      </c>
      <c r="G65" s="50" t="n">
        <v>0</v>
      </c>
      <c r="H65" s="50" t="n">
        <v>0</v>
      </c>
      <c r="I65" s="72" t="n">
        <f aca="false">SUM(D65:H65)</f>
        <v>967</v>
      </c>
      <c r="J65" s="73" t="str">
        <f aca="false">IF(I65&gt;$B$5,"OVER","")</f>
        <v/>
      </c>
    </row>
    <row r="66" customFormat="false" ht="15" hidden="false" customHeight="true" outlineLevel="0" collapsed="false">
      <c r="A66" s="47" t="s">
        <v>478</v>
      </c>
      <c r="B66" s="47" t="s">
        <v>479</v>
      </c>
      <c r="C66" s="71" t="s">
        <v>71</v>
      </c>
      <c r="D66" s="50" t="n">
        <v>0</v>
      </c>
      <c r="E66" s="50" t="n">
        <v>775</v>
      </c>
      <c r="F66" s="50" t="n">
        <v>0</v>
      </c>
      <c r="G66" s="50" t="n">
        <v>0</v>
      </c>
      <c r="H66" s="50" t="n">
        <v>0</v>
      </c>
      <c r="I66" s="72" t="n">
        <f aca="false">SUM(D66:H66)</f>
        <v>775</v>
      </c>
      <c r="J66" s="73" t="str">
        <f aca="false">IF(I66&gt;$B$5,"OVER","")</f>
        <v/>
      </c>
    </row>
    <row r="67" customFormat="false" ht="15" hidden="false" customHeight="true" outlineLevel="0" collapsed="false">
      <c r="A67" s="47" t="s">
        <v>480</v>
      </c>
      <c r="B67" s="47" t="s">
        <v>481</v>
      </c>
      <c r="C67" s="71" t="s">
        <v>73</v>
      </c>
      <c r="D67" s="50" t="n">
        <v>0</v>
      </c>
      <c r="E67" s="50" t="n">
        <v>562</v>
      </c>
      <c r="F67" s="50" t="n">
        <v>0</v>
      </c>
      <c r="G67" s="50" t="n">
        <v>100</v>
      </c>
      <c r="H67" s="50" t="n">
        <v>0</v>
      </c>
      <c r="I67" s="72" t="n">
        <f aca="false">SUM(D67:H67)</f>
        <v>662</v>
      </c>
      <c r="J67" s="73" t="str">
        <f aca="false">IF(I67&gt;$B$5,"OVER","")</f>
        <v/>
      </c>
    </row>
    <row r="68" customFormat="false" ht="15" hidden="false" customHeight="true" outlineLevel="0" collapsed="false">
      <c r="A68" s="47" t="s">
        <v>482</v>
      </c>
      <c r="B68" s="47" t="s">
        <v>483</v>
      </c>
      <c r="C68" s="71" t="s">
        <v>75</v>
      </c>
      <c r="D68" s="50" t="n">
        <v>0</v>
      </c>
      <c r="E68" s="50" t="n">
        <v>517</v>
      </c>
      <c r="F68" s="50" t="n">
        <v>0</v>
      </c>
      <c r="G68" s="50" t="n">
        <v>119</v>
      </c>
      <c r="H68" s="50" t="n">
        <v>0</v>
      </c>
      <c r="I68" s="72" t="n">
        <f aca="false">SUM(D68:H68)</f>
        <v>636</v>
      </c>
      <c r="J68" s="73" t="str">
        <f aca="false">IF(I68&gt;$B$5,"OVER","")</f>
        <v/>
      </c>
    </row>
    <row r="69" customFormat="false" ht="15" hidden="false" customHeight="true" outlineLevel="0" collapsed="false">
      <c r="A69" s="47" t="s">
        <v>484</v>
      </c>
      <c r="B69" s="47" t="s">
        <v>485</v>
      </c>
      <c r="C69" s="71" t="s">
        <v>73</v>
      </c>
      <c r="D69" s="50" t="n">
        <v>0</v>
      </c>
      <c r="E69" s="50" t="n">
        <v>0</v>
      </c>
      <c r="F69" s="50" t="n">
        <v>562</v>
      </c>
      <c r="G69" s="50" t="n">
        <v>27</v>
      </c>
      <c r="H69" s="50" t="n">
        <v>0</v>
      </c>
      <c r="I69" s="72" t="n">
        <f aca="false">SUM(D69:H69)</f>
        <v>589</v>
      </c>
      <c r="J69" s="73" t="str">
        <f aca="false">IF(I69&gt;$B$5,"OVER","")</f>
        <v/>
      </c>
    </row>
    <row r="70" customFormat="false" ht="15" hidden="false" customHeight="true" outlineLevel="0" collapsed="false">
      <c r="A70" s="47" t="s">
        <v>486</v>
      </c>
      <c r="B70" s="47" t="s">
        <v>487</v>
      </c>
      <c r="C70" s="71" t="s">
        <v>71</v>
      </c>
      <c r="D70" s="50" t="n">
        <v>0</v>
      </c>
      <c r="E70" s="50" t="n">
        <v>517</v>
      </c>
      <c r="F70" s="50" t="n">
        <v>0</v>
      </c>
      <c r="G70" s="50" t="n">
        <v>0</v>
      </c>
      <c r="H70" s="50" t="n">
        <v>0</v>
      </c>
      <c r="I70" s="72" t="n">
        <f aca="false">SUM(D70:H70)</f>
        <v>517</v>
      </c>
      <c r="J70" s="73" t="str">
        <f aca="false">IF(I70&gt;$B$5,"OVER","")</f>
        <v/>
      </c>
    </row>
    <row r="71" customFormat="false" ht="15" hidden="false" customHeight="true" outlineLevel="0" collapsed="false">
      <c r="A71" s="47" t="s">
        <v>488</v>
      </c>
      <c r="B71" s="47" t="s">
        <v>397</v>
      </c>
      <c r="C71" s="71" t="s">
        <v>71</v>
      </c>
      <c r="D71" s="50" t="n">
        <v>0</v>
      </c>
      <c r="E71" s="50" t="n">
        <v>517</v>
      </c>
      <c r="F71" s="50" t="n">
        <v>0</v>
      </c>
      <c r="G71" s="50" t="n">
        <v>0</v>
      </c>
      <c r="H71" s="50" t="n">
        <v>0</v>
      </c>
      <c r="I71" s="72" t="n">
        <f aca="false">SUM(D71:H71)</f>
        <v>517</v>
      </c>
      <c r="J71" s="73" t="str">
        <f aca="false">IF(I71&gt;$B$5,"OVER","")</f>
        <v/>
      </c>
    </row>
    <row r="72" customFormat="false" ht="15" hidden="false" customHeight="true" outlineLevel="0" collapsed="false">
      <c r="A72" s="47" t="s">
        <v>489</v>
      </c>
      <c r="B72" s="47" t="s">
        <v>490</v>
      </c>
      <c r="C72" s="71" t="s">
        <v>71</v>
      </c>
      <c r="D72" s="50" t="n">
        <v>0</v>
      </c>
      <c r="E72" s="50" t="n">
        <v>450</v>
      </c>
      <c r="F72" s="50" t="n">
        <v>0</v>
      </c>
      <c r="G72" s="50" t="n">
        <v>0</v>
      </c>
      <c r="H72" s="50" t="n">
        <v>0</v>
      </c>
      <c r="I72" s="72" t="n">
        <f aca="false">SUM(D72:H72)</f>
        <v>450</v>
      </c>
      <c r="J72" s="73" t="str">
        <f aca="false">IF(I72&gt;$B$5,"OVER","")</f>
        <v/>
      </c>
    </row>
    <row r="73" customFormat="false" ht="15" hidden="false" customHeight="true" outlineLevel="0" collapsed="false">
      <c r="A73" s="47" t="s">
        <v>491</v>
      </c>
      <c r="B73" s="47" t="s">
        <v>492</v>
      </c>
      <c r="C73" s="71" t="s">
        <v>71</v>
      </c>
      <c r="D73" s="50" t="n">
        <v>0</v>
      </c>
      <c r="E73" s="50" t="n">
        <v>450</v>
      </c>
      <c r="F73" s="50" t="n">
        <v>0</v>
      </c>
      <c r="G73" s="50" t="n">
        <v>0</v>
      </c>
      <c r="H73" s="50" t="n">
        <v>0</v>
      </c>
      <c r="I73" s="72" t="n">
        <f aca="false">SUM(D73:H73)</f>
        <v>450</v>
      </c>
      <c r="J73" s="73" t="str">
        <f aca="false">IF(I73&gt;$B$5,"OVER","")</f>
        <v/>
      </c>
    </row>
    <row r="74" customFormat="false" ht="15" hidden="false" customHeight="true" outlineLevel="0" collapsed="false">
      <c r="A74" s="47" t="s">
        <v>493</v>
      </c>
      <c r="B74" s="47" t="s">
        <v>494</v>
      </c>
      <c r="C74" s="71" t="s">
        <v>73</v>
      </c>
      <c r="D74" s="50" t="n">
        <v>0</v>
      </c>
      <c r="E74" s="50" t="n">
        <v>450</v>
      </c>
      <c r="F74" s="50" t="n">
        <v>0</v>
      </c>
      <c r="G74" s="50" t="n">
        <v>0</v>
      </c>
      <c r="H74" s="50" t="n">
        <v>0</v>
      </c>
      <c r="I74" s="72" t="n">
        <f aca="false">SUM(D74:H74)</f>
        <v>450</v>
      </c>
      <c r="J74" s="73" t="str">
        <f aca="false">IF(I74&gt;$B$5,"OVER","")</f>
        <v/>
      </c>
    </row>
    <row r="75" customFormat="false" ht="15" hidden="false" customHeight="true" outlineLevel="0" collapsed="false">
      <c r="A75" s="47" t="s">
        <v>495</v>
      </c>
      <c r="B75" s="47" t="s">
        <v>397</v>
      </c>
      <c r="C75" s="71" t="s">
        <v>71</v>
      </c>
      <c r="D75" s="50" t="n">
        <v>0</v>
      </c>
      <c r="E75" s="50" t="n">
        <v>450</v>
      </c>
      <c r="F75" s="50" t="n">
        <v>0</v>
      </c>
      <c r="G75" s="50" t="n">
        <v>0</v>
      </c>
      <c r="H75" s="50" t="n">
        <v>0</v>
      </c>
      <c r="I75" s="72" t="n">
        <f aca="false">SUM(D75:H75)</f>
        <v>450</v>
      </c>
      <c r="J75" s="73" t="str">
        <f aca="false">IF(I75&gt;$B$5,"OVER","")</f>
        <v/>
      </c>
    </row>
    <row r="76" customFormat="false" ht="15" hidden="false" customHeight="true" outlineLevel="0" collapsed="false">
      <c r="A76" s="47" t="s">
        <v>496</v>
      </c>
      <c r="B76" s="47" t="s">
        <v>497</v>
      </c>
      <c r="C76" s="71" t="s">
        <v>371</v>
      </c>
      <c r="D76" s="50" t="n">
        <v>0</v>
      </c>
      <c r="E76" s="50" t="n">
        <v>450</v>
      </c>
      <c r="F76" s="50" t="n">
        <v>0</v>
      </c>
      <c r="G76" s="50" t="n">
        <v>0</v>
      </c>
      <c r="H76" s="50" t="n">
        <v>0</v>
      </c>
      <c r="I76" s="72" t="n">
        <f aca="false">SUM(D76:H76)</f>
        <v>450</v>
      </c>
      <c r="J76" s="73" t="str">
        <f aca="false">IF(I76&gt;$B$5,"OVER","")</f>
        <v/>
      </c>
    </row>
    <row r="77" customFormat="false" ht="15" hidden="false" customHeight="true" outlineLevel="0" collapsed="false">
      <c r="A77" s="47" t="s">
        <v>498</v>
      </c>
      <c r="B77" s="47" t="s">
        <v>499</v>
      </c>
      <c r="C77" s="71" t="s">
        <v>71</v>
      </c>
      <c r="D77" s="50" t="n">
        <v>0</v>
      </c>
      <c r="E77" s="50" t="n">
        <v>450</v>
      </c>
      <c r="F77" s="50" t="n">
        <v>0</v>
      </c>
      <c r="G77" s="50" t="n">
        <v>0</v>
      </c>
      <c r="H77" s="50" t="n">
        <v>0</v>
      </c>
      <c r="I77" s="72" t="n">
        <f aca="false">SUM(D77:H77)</f>
        <v>450</v>
      </c>
      <c r="J77" s="73" t="str">
        <f aca="false">IF(I77&gt;$B$5,"OVER","")</f>
        <v/>
      </c>
    </row>
    <row r="78" customFormat="false" ht="15" hidden="false" customHeight="true" outlineLevel="0" collapsed="false">
      <c r="A78" s="47" t="s">
        <v>500</v>
      </c>
      <c r="B78" s="47" t="s">
        <v>501</v>
      </c>
      <c r="C78" s="71" t="s">
        <v>371</v>
      </c>
      <c r="D78" s="50" t="n">
        <v>0</v>
      </c>
      <c r="E78" s="50" t="n">
        <v>112</v>
      </c>
      <c r="F78" s="50" t="n">
        <v>0</v>
      </c>
      <c r="G78" s="50" t="n">
        <v>0</v>
      </c>
      <c r="H78" s="50" t="n">
        <v>0</v>
      </c>
      <c r="I78" s="72" t="n">
        <f aca="false">SUM(D78:H78)</f>
        <v>112</v>
      </c>
      <c r="J78" s="73" t="str">
        <f aca="false">IF(I78&gt;$B$5,"OVER","")</f>
        <v/>
      </c>
    </row>
    <row r="79" customFormat="false" ht="15" hidden="false" customHeight="true" outlineLevel="0" collapsed="false">
      <c r="A79" s="47" t="s">
        <v>502</v>
      </c>
      <c r="B79" s="47" t="s">
        <v>503</v>
      </c>
      <c r="C79" s="71" t="s">
        <v>73</v>
      </c>
      <c r="D79" s="50" t="n">
        <v>0</v>
      </c>
      <c r="E79" s="50" t="n">
        <v>0</v>
      </c>
      <c r="F79" s="50" t="n">
        <v>0</v>
      </c>
      <c r="G79" s="50" t="n">
        <v>62</v>
      </c>
      <c r="H79" s="50" t="n">
        <v>0</v>
      </c>
      <c r="I79" s="72" t="n">
        <f aca="false">SUM(D79:H79)</f>
        <v>62</v>
      </c>
      <c r="J79" s="73" t="str">
        <f aca="false">IF(I79&gt;$B$5,"OVER","")</f>
        <v/>
      </c>
    </row>
    <row r="80" customFormat="false" ht="15" hidden="false" customHeight="true" outlineLevel="0" collapsed="false">
      <c r="A80" s="25"/>
      <c r="B80" s="23" t="s">
        <v>504</v>
      </c>
      <c r="C80" s="25"/>
      <c r="D80" s="24" t="n">
        <f aca="false">SUM(D17:D79)</f>
        <v>200559</v>
      </c>
      <c r="E80" s="24" t="n">
        <f aca="false">SUM(E17:E79)</f>
        <v>42911</v>
      </c>
      <c r="F80" s="24" t="n">
        <f aca="false">SUM(F17:F79)</f>
        <v>3372</v>
      </c>
      <c r="G80" s="24" t="n">
        <f aca="false">SUM(G17:G79)</f>
        <v>27920</v>
      </c>
      <c r="H80" s="24" t="n">
        <f aca="false">SUM(H17:H79)</f>
        <v>11274</v>
      </c>
      <c r="I80" s="24" t="n">
        <f aca="false">SUM(I17:I79)</f>
        <v>286036</v>
      </c>
      <c r="J80" s="25"/>
    </row>
  </sheetData>
  <mergeCells count="6">
    <mergeCell ref="A1:J1"/>
    <mergeCell ref="A2:J2"/>
    <mergeCell ref="A4:C4"/>
    <mergeCell ref="E4:J4"/>
    <mergeCell ref="E12:J14"/>
    <mergeCell ref="A15:J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6" min="2" style="1" width="15"/>
  </cols>
  <sheetData>
    <row r="1" customFormat="false" ht="21.75" hidden="false" customHeight="true" outlineLevel="0" collapsed="false">
      <c r="A1" s="6" t="s">
        <v>505</v>
      </c>
      <c r="B1" s="6"/>
      <c r="C1" s="6"/>
      <c r="D1" s="6"/>
      <c r="E1" s="6"/>
      <c r="F1" s="6"/>
    </row>
    <row r="2" customFormat="false" ht="27.75" hidden="false" customHeight="true" outlineLevel="0" collapsed="false">
      <c r="A2" s="27" t="s">
        <v>506</v>
      </c>
      <c r="B2" s="27"/>
      <c r="C2" s="27"/>
      <c r="D2" s="27"/>
      <c r="E2" s="27"/>
      <c r="F2" s="27"/>
    </row>
    <row r="4" customFormat="false" ht="15" hidden="false" customHeight="true" outlineLevel="0" collapsed="false">
      <c r="A4" s="17" t="s">
        <v>507</v>
      </c>
      <c r="B4" s="17"/>
      <c r="C4" s="17"/>
      <c r="D4" s="17"/>
      <c r="E4" s="17"/>
      <c r="F4" s="17"/>
    </row>
    <row r="5" customFormat="false" ht="15" hidden="false" customHeight="true" outlineLevel="0" collapsed="false">
      <c r="A5" s="8" t="s">
        <v>508</v>
      </c>
      <c r="B5" s="74" t="n">
        <v>1540000</v>
      </c>
      <c r="C5" s="27" t="s">
        <v>509</v>
      </c>
      <c r="D5" s="27"/>
      <c r="E5" s="27"/>
      <c r="F5" s="27"/>
    </row>
    <row r="6" customFormat="false" ht="15" hidden="false" customHeight="true" outlineLevel="0" collapsed="false">
      <c r="A6" s="8" t="s">
        <v>510</v>
      </c>
      <c r="B6" s="74" t="n">
        <v>1600000</v>
      </c>
      <c r="C6" s="27" t="s">
        <v>511</v>
      </c>
      <c r="D6" s="27"/>
      <c r="E6" s="27"/>
      <c r="F6" s="27"/>
    </row>
    <row r="7" customFormat="false" ht="15" hidden="false" customHeight="true" outlineLevel="0" collapsed="false">
      <c r="A7" s="8" t="s">
        <v>512</v>
      </c>
      <c r="B7" s="38" t="n">
        <f aca="false">1-Forutsetninger!$B$5*Forutsetninger!$B$8-Forutsetninger!$B$12-Forutsetninger!$B$11/Forutsetninger!$B$33</f>
        <v>0.40971729430111</v>
      </c>
      <c r="C7" s="27" t="s">
        <v>513</v>
      </c>
      <c r="D7" s="27"/>
      <c r="E7" s="27"/>
      <c r="F7" s="27"/>
    </row>
    <row r="8" customFormat="false" ht="15" hidden="false" customHeight="true" outlineLevel="0" collapsed="false">
      <c r="A8" s="8" t="s">
        <v>514</v>
      </c>
      <c r="B8" s="33" t="n">
        <f aca="false">B5*B7</f>
        <v>630964.63322371</v>
      </c>
    </row>
    <row r="9" customFormat="false" ht="15" hidden="false" customHeight="true" outlineLevel="0" collapsed="false">
      <c r="A9" s="8" t="s">
        <v>88</v>
      </c>
      <c r="B9" s="33" t="n">
        <f aca="false">-Forutsetninger!$B$21</f>
        <v>-575000</v>
      </c>
    </row>
    <row r="10" customFormat="false" ht="15" hidden="false" customHeight="true" outlineLevel="0" collapsed="false">
      <c r="A10" s="8" t="s">
        <v>80</v>
      </c>
      <c r="B10" s="33" t="n">
        <f aca="false">-Forutsetninger!$B$23*B5</f>
        <v>-61600</v>
      </c>
    </row>
    <row r="11" customFormat="false" ht="15" hidden="false" customHeight="true" outlineLevel="0" collapsed="false">
      <c r="A11" s="36" t="s">
        <v>515</v>
      </c>
      <c r="B11" s="37" t="n">
        <f aca="false">B8+B9+B10</f>
        <v>-5635.36677629035</v>
      </c>
    </row>
    <row r="12" customFormat="false" ht="15" hidden="false" customHeight="true" outlineLevel="0" collapsed="false">
      <c r="A12" s="8" t="s">
        <v>516</v>
      </c>
      <c r="B12" s="33" t="n">
        <f aca="false">B6*B7</f>
        <v>655547.670881776</v>
      </c>
      <c r="C12" s="27" t="s">
        <v>517</v>
      </c>
      <c r="D12" s="27"/>
      <c r="E12" s="27"/>
      <c r="F12" s="27"/>
    </row>
    <row r="13" customFormat="false" ht="15" hidden="false" customHeight="true" outlineLevel="0" collapsed="false">
      <c r="A13" s="36" t="s">
        <v>518</v>
      </c>
      <c r="B13" s="37" t="n">
        <f aca="false">B11-B12</f>
        <v>-661183.037658067</v>
      </c>
      <c r="C13" s="27" t="s">
        <v>519</v>
      </c>
      <c r="D13" s="27"/>
      <c r="E13" s="27"/>
      <c r="F13" s="27"/>
    </row>
    <row r="15" customFormat="false" ht="15" hidden="false" customHeight="true" outlineLevel="0" collapsed="false">
      <c r="A15" s="17" t="s">
        <v>520</v>
      </c>
      <c r="B15" s="17"/>
      <c r="C15" s="17"/>
      <c r="D15" s="17"/>
      <c r="E15" s="17"/>
      <c r="F15" s="17"/>
    </row>
    <row r="16" customFormat="false" ht="15" hidden="false" customHeight="true" outlineLevel="0" collapsed="false">
      <c r="A16" s="14" t="s">
        <v>521</v>
      </c>
      <c r="B16" s="75" t="n">
        <f aca="false">Forutsetninger!$B$21/(B7-Forutsetninger!$B$23)</f>
        <v>1555242.36724426</v>
      </c>
      <c r="C16" s="27" t="s">
        <v>522</v>
      </c>
      <c r="D16" s="27"/>
      <c r="E16" s="27"/>
      <c r="F16" s="27"/>
    </row>
    <row r="17" customFormat="false" ht="15" hidden="false" customHeight="true" outlineLevel="0" collapsed="false">
      <c r="A17" s="14" t="s">
        <v>523</v>
      </c>
      <c r="B17" s="75" t="n">
        <f aca="false">(Forutsetninger!$B$21+B12)/(B7-Forutsetninger!$B$23)</f>
        <v>3328347.60464188</v>
      </c>
      <c r="C17" s="27" t="s">
        <v>524</v>
      </c>
      <c r="D17" s="27"/>
      <c r="E17" s="27"/>
      <c r="F17" s="27"/>
    </row>
    <row r="18" customFormat="false" ht="15" hidden="false" customHeight="true" outlineLevel="0" collapsed="false">
      <c r="A18" s="8" t="s">
        <v>525</v>
      </c>
      <c r="B18" s="33" t="n">
        <f aca="false">B17-B6</f>
        <v>1728347.60464188</v>
      </c>
    </row>
    <row r="20" customFormat="false" ht="15" hidden="false" customHeight="true" outlineLevel="0" collapsed="false">
      <c r="A20" s="17" t="s">
        <v>526</v>
      </c>
      <c r="B20" s="17"/>
      <c r="C20" s="17"/>
      <c r="D20" s="17"/>
      <c r="E20" s="17"/>
      <c r="F20" s="17"/>
    </row>
    <row r="21" customFormat="false" ht="15" hidden="false" customHeight="true" outlineLevel="0" collapsed="false">
      <c r="A21" s="8" t="s">
        <v>527</v>
      </c>
      <c r="B21" s="74" t="n">
        <v>2000000</v>
      </c>
      <c r="C21" s="27" t="s">
        <v>528</v>
      </c>
      <c r="D21" s="27"/>
      <c r="E21" s="27"/>
      <c r="F21" s="27"/>
    </row>
    <row r="22" customFormat="false" ht="15" hidden="false" customHeight="true" outlineLevel="0" collapsed="false">
      <c r="A22" s="8" t="s">
        <v>529</v>
      </c>
      <c r="B22" s="74" t="n">
        <v>950000</v>
      </c>
      <c r="C22" s="27" t="s">
        <v>530</v>
      </c>
      <c r="D22" s="27"/>
      <c r="E22" s="27"/>
      <c r="F22" s="27"/>
    </row>
    <row r="23" customFormat="false" ht="15" hidden="false" customHeight="true" outlineLevel="0" collapsed="false">
      <c r="A23" s="41" t="s">
        <v>531</v>
      </c>
      <c r="B23" s="12" t="n">
        <v>1400000</v>
      </c>
      <c r="C23" s="12" t="n">
        <v>2000000</v>
      </c>
      <c r="D23" s="12" t="n">
        <v>3000000</v>
      </c>
      <c r="E23" s="12" t="n">
        <v>4000000</v>
      </c>
      <c r="F23" s="12" t="n">
        <v>5000000</v>
      </c>
    </row>
    <row r="24" customFormat="false" ht="15" hidden="false" customHeight="true" outlineLevel="0" collapsed="false">
      <c r="A24" s="18" t="s">
        <v>532</v>
      </c>
      <c r="B24" s="21" t="n">
        <f aca="false">B23*B7</f>
        <v>573604.212021554</v>
      </c>
      <c r="C24" s="21" t="n">
        <f aca="false">C23*B7</f>
        <v>819434.58860222</v>
      </c>
      <c r="D24" s="21" t="n">
        <f aca="false">D23*B7</f>
        <v>1229151.88290333</v>
      </c>
      <c r="E24" s="21" t="n">
        <f aca="false">E23*B7</f>
        <v>1638869.17720444</v>
      </c>
      <c r="F24" s="21" t="n">
        <f aca="false">F23*B7</f>
        <v>2048586.47150555</v>
      </c>
    </row>
    <row r="25" customFormat="false" ht="15" hidden="false" customHeight="true" outlineLevel="0" collapsed="false">
      <c r="A25" s="18" t="s">
        <v>533</v>
      </c>
      <c r="B25" s="21" t="n">
        <f aca="false">-Forutsetninger!$B$21</f>
        <v>-575000</v>
      </c>
      <c r="C25" s="21" t="n">
        <f aca="false">-Forutsetninger!$B$21</f>
        <v>-575000</v>
      </c>
      <c r="D25" s="21" t="n">
        <f aca="false">-Forutsetninger!$B$21</f>
        <v>-575000</v>
      </c>
      <c r="E25" s="21" t="n">
        <f aca="false">-Forutsetninger!$B$21</f>
        <v>-575000</v>
      </c>
      <c r="F25" s="21" t="n">
        <f aca="false">-Forutsetninger!$B$21</f>
        <v>-575000</v>
      </c>
    </row>
    <row r="26" customFormat="false" ht="15" hidden="false" customHeight="true" outlineLevel="0" collapsed="false">
      <c r="A26" s="18" t="s">
        <v>534</v>
      </c>
      <c r="B26" s="21" t="n">
        <f aca="false">-Forutsetninger!$B$23*B23</f>
        <v>-56000</v>
      </c>
      <c r="C26" s="21" t="n">
        <f aca="false">-Forutsetninger!$B$23*C23</f>
        <v>-80000</v>
      </c>
      <c r="D26" s="21" t="n">
        <f aca="false">-Forutsetninger!$B$23*D23</f>
        <v>-120000</v>
      </c>
      <c r="E26" s="21" t="n">
        <f aca="false">-Forutsetninger!$B$23*E23</f>
        <v>-160000</v>
      </c>
      <c r="F26" s="21" t="n">
        <f aca="false">-Forutsetninger!$B$23*F23</f>
        <v>-200000</v>
      </c>
    </row>
    <row r="27" customFormat="false" ht="15" hidden="false" customHeight="true" outlineLevel="0" collapsed="false">
      <c r="A27" s="23" t="s">
        <v>515</v>
      </c>
      <c r="B27" s="24" t="n">
        <f aca="false">B24+B25+B26</f>
        <v>-57395.7879784458</v>
      </c>
      <c r="C27" s="24" t="n">
        <f aca="false">C24+C25+C26</f>
        <v>164434.58860222</v>
      </c>
      <c r="D27" s="24" t="n">
        <f aca="false">D24+D25+D26</f>
        <v>534151.882903331</v>
      </c>
      <c r="E27" s="24" t="n">
        <f aca="false">E24+E25+E26</f>
        <v>903869.177204441</v>
      </c>
      <c r="F27" s="24" t="n">
        <f aca="false">F24+F25+F26</f>
        <v>1273586.47150555</v>
      </c>
    </row>
    <row r="28" customFormat="false" ht="15" hidden="false" customHeight="true" outlineLevel="0" collapsed="false">
      <c r="A28" s="23" t="s">
        <v>535</v>
      </c>
      <c r="B28" s="24" t="n">
        <f aca="false">B27-B12</f>
        <v>-712943.458860222</v>
      </c>
      <c r="C28" s="24" t="n">
        <f aca="false">C27-B12</f>
        <v>-491113.082279556</v>
      </c>
      <c r="D28" s="24" t="n">
        <f aca="false">D27-B12</f>
        <v>-121395.787978446</v>
      </c>
      <c r="E28" s="24" t="n">
        <f aca="false">E27-B12</f>
        <v>248321.506322664</v>
      </c>
      <c r="F28" s="24" t="n">
        <f aca="false">F27-B12</f>
        <v>618038.800623774</v>
      </c>
    </row>
    <row r="29" customFormat="false" ht="15" hidden="false" customHeight="true" outlineLevel="0" collapsed="false">
      <c r="A29" s="18" t="s">
        <v>536</v>
      </c>
      <c r="B29" s="21" t="n">
        <f aca="false">$B$21*(1-Forutsetninger!$B$4*Forutsetninger!$B$8-Forutsetninger!$B$12-Forutsetninger!$B$11/Forutsetninger!$B$33)</f>
        <v>689434.58860222</v>
      </c>
      <c r="C29" s="21" t="n">
        <f aca="false">$B$21*(1-Forutsetninger!$B$4*Forutsetninger!$B$8-Forutsetninger!$B$12-Forutsetninger!$B$11/Forutsetninger!$B$33)</f>
        <v>689434.58860222</v>
      </c>
      <c r="D29" s="21" t="n">
        <f aca="false">$B$21*(1-Forutsetninger!$B$4*Forutsetninger!$B$8-Forutsetninger!$B$12-Forutsetninger!$B$11/Forutsetninger!$B$33)</f>
        <v>689434.58860222</v>
      </c>
      <c r="E29" s="21" t="n">
        <f aca="false">$B$21*(1-Forutsetninger!$B$4*Forutsetninger!$B$8-Forutsetninger!$B$12-Forutsetninger!$B$11/Forutsetninger!$B$33)</f>
        <v>689434.58860222</v>
      </c>
      <c r="F29" s="21" t="n">
        <f aca="false">$B$21*(1-Forutsetninger!$B$4*Forutsetninger!$B$8-Forutsetninger!$B$12-Forutsetninger!$B$11/Forutsetninger!$B$33)</f>
        <v>689434.58860222</v>
      </c>
    </row>
    <row r="30" customFormat="false" ht="15" hidden="false" customHeight="true" outlineLevel="0" collapsed="false">
      <c r="A30" s="18" t="s">
        <v>537</v>
      </c>
      <c r="B30" s="21" t="n">
        <f aca="false">$B$22*(1-Forutsetninger!$B$6*Forutsetninger!$B$8-Forutsetninger!$B$12-Forutsetninger!$B$11/Forutsetninger!$B$33)</f>
        <v>389231.429586055</v>
      </c>
      <c r="C30" s="21" t="n">
        <f aca="false">$B$22*(1-Forutsetninger!$B$6*Forutsetninger!$B$8-Forutsetninger!$B$12-Forutsetninger!$B$11/Forutsetninger!$B$33)</f>
        <v>389231.429586055</v>
      </c>
      <c r="D30" s="21" t="n">
        <f aca="false">$B$22*(1-Forutsetninger!$B$6*Forutsetninger!$B$8-Forutsetninger!$B$12-Forutsetninger!$B$11/Forutsetninger!$B$33)</f>
        <v>389231.429586055</v>
      </c>
      <c r="E30" s="21" t="n">
        <f aca="false">$B$22*(1-Forutsetninger!$B$6*Forutsetninger!$B$8-Forutsetninger!$B$12-Forutsetninger!$B$11/Forutsetninger!$B$33)</f>
        <v>389231.429586055</v>
      </c>
      <c r="F30" s="21" t="n">
        <f aca="false">$B$22*(1-Forutsetninger!$B$6*Forutsetninger!$B$8-Forutsetninger!$B$12-Forutsetninger!$B$11/Forutsetninger!$B$33)</f>
        <v>389231.429586055</v>
      </c>
    </row>
    <row r="31" customFormat="false" ht="15" hidden="false" customHeight="true" outlineLevel="0" collapsed="false">
      <c r="A31" s="18" t="s">
        <v>538</v>
      </c>
      <c r="B31" s="21" t="n">
        <f aca="false">-(Forutsetninger!$B$14+Forutsetninger!$B$15+Forutsetninger!$B$16+Forutsetninger!$B$18+Forutsetninger!$B$17)</f>
        <v>-1514000</v>
      </c>
      <c r="C31" s="21" t="n">
        <f aca="false">-(Forutsetninger!$B$14+Forutsetninger!$B$15+Forutsetninger!$B$16+Forutsetninger!$B$18+Forutsetninger!$B$17)</f>
        <v>-1514000</v>
      </c>
      <c r="D31" s="21" t="n">
        <f aca="false">-(Forutsetninger!$B$14+Forutsetninger!$B$15+Forutsetninger!$B$16+Forutsetninger!$B$18+Forutsetninger!$B$17)</f>
        <v>-1514000</v>
      </c>
      <c r="E31" s="21" t="n">
        <f aca="false">-(Forutsetninger!$B$14+Forutsetninger!$B$15+Forutsetninger!$B$16+Forutsetninger!$B$18+Forutsetninger!$B$17)</f>
        <v>-1514000</v>
      </c>
      <c r="F31" s="21" t="n">
        <f aca="false">-(Forutsetninger!$B$14+Forutsetninger!$B$15+Forutsetninger!$B$16+Forutsetninger!$B$18+Forutsetninger!$B$17)</f>
        <v>-1514000</v>
      </c>
    </row>
    <row r="32" customFormat="false" ht="15" hidden="false" customHeight="true" outlineLevel="0" collapsed="false">
      <c r="A32" s="76" t="s">
        <v>539</v>
      </c>
      <c r="B32" s="37" t="n">
        <f aca="false">B27+B29+B30+B31</f>
        <v>-492729.769790171</v>
      </c>
      <c r="C32" s="37" t="n">
        <f aca="false">C27+C29+C30+C31</f>
        <v>-270899.393209505</v>
      </c>
      <c r="D32" s="37" t="n">
        <f aca="false">D27+D29+D30+D31</f>
        <v>98817.9010916054</v>
      </c>
      <c r="E32" s="37" t="n">
        <f aca="false">E27+E29+E30+E31</f>
        <v>468535.195392715</v>
      </c>
      <c r="F32" s="37" t="n">
        <f aca="false">F27+F29+F30+F31</f>
        <v>838252.489693826</v>
      </c>
    </row>
    <row r="33" customFormat="false" ht="15" hidden="false" customHeight="true" outlineLevel="0" collapsed="false">
      <c r="A33" s="23" t="s">
        <v>540</v>
      </c>
      <c r="B33" s="24" t="n">
        <f aca="false">B12+$B$21*(1-Forutsetninger!$B$4*Forutsetninger!$B$8-Forutsetninger!$B$12-Forutsetninger!$B$11/Forutsetninger!$B$33)+$B$22*(1-Forutsetninger!$B$6*Forutsetninger!$B$8-Forutsetninger!$B$12-Forutsetninger!$B$11/Forutsetninger!$B$33)-(Forutsetninger!$B$14+Forutsetninger!$B$15+Forutsetninger!$B$16+Forutsetninger!$B$18+Forutsetninger!$B$17)</f>
        <v>220213.689070051</v>
      </c>
      <c r="C33" s="24" t="n">
        <f aca="false">B12+$B$21*(1-Forutsetninger!$B$4*Forutsetninger!$B$8-Forutsetninger!$B$12-Forutsetninger!$B$11/Forutsetninger!$B$33)+$B$22*(1-Forutsetninger!$B$6*Forutsetninger!$B$8-Forutsetninger!$B$12-Forutsetninger!$B$11/Forutsetninger!$B$33)-(Forutsetninger!$B$14+Forutsetninger!$B$15+Forutsetninger!$B$16+Forutsetninger!$B$18+Forutsetninger!$B$17)</f>
        <v>220213.689070051</v>
      </c>
      <c r="D33" s="24" t="n">
        <f aca="false">B12+$B$21*(1-Forutsetninger!$B$4*Forutsetninger!$B$8-Forutsetninger!$B$12-Forutsetninger!$B$11/Forutsetninger!$B$33)+$B$22*(1-Forutsetninger!$B$6*Forutsetninger!$B$8-Forutsetninger!$B$12-Forutsetninger!$B$11/Forutsetninger!$B$33)-(Forutsetninger!$B$14+Forutsetninger!$B$15+Forutsetninger!$B$16+Forutsetninger!$B$18+Forutsetninger!$B$17)</f>
        <v>220213.689070051</v>
      </c>
      <c r="E33" s="24" t="n">
        <f aca="false">B12+$B$21*(1-Forutsetninger!$B$4*Forutsetninger!$B$8-Forutsetninger!$B$12-Forutsetninger!$B$11/Forutsetninger!$B$33)+$B$22*(1-Forutsetninger!$B$6*Forutsetninger!$B$8-Forutsetninger!$B$12-Forutsetninger!$B$11/Forutsetninger!$B$33)-(Forutsetninger!$B$14+Forutsetninger!$B$15+Forutsetninger!$B$16+Forutsetninger!$B$18+Forutsetninger!$B$17)</f>
        <v>220213.689070051</v>
      </c>
      <c r="F33" s="24" t="n">
        <f aca="false">B12+$B$21*(1-Forutsetninger!$B$4*Forutsetninger!$B$8-Forutsetninger!$B$12-Forutsetninger!$B$11/Forutsetninger!$B$33)+$B$22*(1-Forutsetninger!$B$6*Forutsetninger!$B$8-Forutsetninger!$B$12-Forutsetninger!$B$11/Forutsetninger!$B$33)-(Forutsetninger!$B$14+Forutsetninger!$B$15+Forutsetninger!$B$16+Forutsetninger!$B$18+Forutsetninger!$B$17)</f>
        <v>220213.689070051</v>
      </c>
    </row>
    <row r="34" customFormat="false" ht="15" hidden="false" customHeight="true" outlineLevel="0" collapsed="false">
      <c r="A34" s="76" t="s">
        <v>541</v>
      </c>
      <c r="B34" s="37" t="n">
        <f aca="false">B32-B33</f>
        <v>-712943.458860222</v>
      </c>
      <c r="C34" s="37" t="n">
        <f aca="false">C32-C33</f>
        <v>-491113.082279556</v>
      </c>
      <c r="D34" s="37" t="n">
        <f aca="false">D32-D33</f>
        <v>-121395.787978446</v>
      </c>
      <c r="E34" s="37" t="n">
        <f aca="false">E32-E33</f>
        <v>248321.506322664</v>
      </c>
      <c r="F34" s="37" t="n">
        <f aca="false">F32-F33</f>
        <v>618038.800623775</v>
      </c>
    </row>
    <row r="35" customFormat="false" ht="30" hidden="false" customHeight="true" outlineLevel="0" collapsed="false">
      <c r="A35" s="27" t="s">
        <v>542</v>
      </c>
      <c r="B35" s="27"/>
      <c r="C35" s="27"/>
      <c r="D35" s="27"/>
      <c r="E35" s="27"/>
      <c r="F35" s="27"/>
    </row>
    <row r="38" customFormat="false" ht="15" hidden="false" customHeight="true" outlineLevel="0" collapsed="false">
      <c r="A38" s="17" t="s">
        <v>543</v>
      </c>
      <c r="B38" s="17"/>
      <c r="C38" s="17"/>
      <c r="D38" s="17"/>
      <c r="E38" s="17"/>
      <c r="F38" s="17"/>
    </row>
    <row r="39" customFormat="false" ht="15" hidden="false" customHeight="true" outlineLevel="0" collapsed="false">
      <c r="A39" s="14" t="s">
        <v>544</v>
      </c>
      <c r="B39" s="14" t="s">
        <v>545</v>
      </c>
    </row>
    <row r="40" customFormat="false" ht="15" hidden="false" customHeight="true" outlineLevel="0" collapsed="false">
      <c r="A40" s="8" t="s">
        <v>546</v>
      </c>
      <c r="B40" s="33" t="n">
        <v>104640</v>
      </c>
    </row>
    <row r="41" customFormat="false" ht="15" hidden="false" customHeight="true" outlineLevel="0" collapsed="false">
      <c r="A41" s="8" t="s">
        <v>547</v>
      </c>
      <c r="B41" s="33" t="n">
        <v>188800</v>
      </c>
    </row>
    <row r="42" customFormat="false" ht="15" hidden="false" customHeight="true" outlineLevel="0" collapsed="false">
      <c r="A42" s="8" t="s">
        <v>548</v>
      </c>
      <c r="B42" s="33" t="n">
        <v>72000</v>
      </c>
    </row>
    <row r="43" customFormat="false" ht="15" hidden="false" customHeight="true" outlineLevel="0" collapsed="false">
      <c r="A43" s="8" t="s">
        <v>549</v>
      </c>
      <c r="B43" s="33" t="n">
        <v>278160</v>
      </c>
    </row>
    <row r="44" customFormat="false" ht="15" hidden="false" customHeight="true" outlineLevel="0" collapsed="false">
      <c r="A44" s="14" t="s">
        <v>550</v>
      </c>
      <c r="B44" s="24" t="n">
        <f aca="false">SUM(B40:B43)</f>
        <v>643600</v>
      </c>
    </row>
    <row r="45" customFormat="false" ht="15" hidden="false" customHeight="true" outlineLevel="0" collapsed="false">
      <c r="A45" s="8" t="s">
        <v>551</v>
      </c>
      <c r="B45" s="77" t="n">
        <v>5.5</v>
      </c>
    </row>
    <row r="46" customFormat="false" ht="15" hidden="false" customHeight="true" outlineLevel="0" collapsed="false">
      <c r="A46" s="36" t="s">
        <v>552</v>
      </c>
      <c r="B46" s="37" t="n">
        <f aca="false">B44/B45*12</f>
        <v>1404218.18181818</v>
      </c>
    </row>
    <row r="47" customFormat="false" ht="15" hidden="false" customHeight="true" outlineLevel="0" collapsed="false">
      <c r="A47" s="8" t="s">
        <v>553</v>
      </c>
      <c r="B47" s="33" t="n">
        <f aca="false">B46-B16</f>
        <v>-151024.185426075</v>
      </c>
      <c r="C47" s="27" t="s">
        <v>554</v>
      </c>
      <c r="D47" s="27"/>
      <c r="E47" s="27"/>
      <c r="F47" s="27"/>
    </row>
    <row r="48" customFormat="false" ht="15" hidden="false" customHeight="true" outlineLevel="0" collapsed="false">
      <c r="A48" s="8" t="s">
        <v>555</v>
      </c>
      <c r="B48" s="33" t="n">
        <f aca="false">B46-B17</f>
        <v>-1924129.4228237</v>
      </c>
    </row>
    <row r="50" customFormat="false" ht="15" hidden="false" customHeight="true" outlineLevel="0" collapsed="false">
      <c r="A50" s="17" t="s">
        <v>556</v>
      </c>
      <c r="B50" s="17"/>
      <c r="C50" s="17"/>
      <c r="D50" s="17"/>
      <c r="E50" s="17"/>
      <c r="F50" s="17"/>
    </row>
    <row r="51" customFormat="false" ht="15" hidden="false" customHeight="true" outlineLevel="0" collapsed="false">
      <c r="A51" s="8" t="s">
        <v>557</v>
      </c>
      <c r="B51" s="78" t="s">
        <v>558</v>
      </c>
    </row>
    <row r="52" customFormat="false" ht="15" hidden="false" customHeight="true" outlineLevel="0" collapsed="false">
      <c r="A52" s="8" t="s">
        <v>559</v>
      </c>
      <c r="B52" s="35" t="n">
        <v>6</v>
      </c>
    </row>
    <row r="53" customFormat="false" ht="15" hidden="false" customHeight="true" outlineLevel="0" collapsed="false">
      <c r="A53" s="8" t="s">
        <v>560</v>
      </c>
      <c r="B53" s="79" t="n">
        <f aca="false">EDATE(B51,B52)</f>
        <v>46327</v>
      </c>
    </row>
    <row r="54" customFormat="false" ht="15" hidden="false" customHeight="true" outlineLevel="0" collapsed="false">
      <c r="A54" s="80" t="s">
        <v>561</v>
      </c>
      <c r="B54" s="81" t="n">
        <f aca="false">B53-14</f>
        <v>46313</v>
      </c>
    </row>
    <row r="55" customFormat="false" ht="15" hidden="false" customHeight="true" outlineLevel="0" collapsed="false">
      <c r="A55" s="82" t="s">
        <v>562</v>
      </c>
      <c r="B55" s="83" t="str">
        <f aca="false">IF(B46&lt;B16,"STOPP - under gulv",IF(B46&lt;B17,"OBS - dekker ikke investeringen","OK - behold"))</f>
        <v>STOPP - under gulv</v>
      </c>
      <c r="C55" s="83"/>
      <c r="D55" s="83"/>
      <c r="E55" s="83"/>
    </row>
    <row r="57" customFormat="false" ht="15" hidden="false" customHeight="true" outlineLevel="0" collapsed="false">
      <c r="A57" s="7" t="s">
        <v>563</v>
      </c>
      <c r="B57" s="7"/>
      <c r="C57" s="7"/>
      <c r="D57" s="7"/>
      <c r="E57" s="7"/>
      <c r="F57" s="7"/>
    </row>
    <row r="58" customFormat="false" ht="27.75" hidden="false" customHeight="true" outlineLevel="0" collapsed="false">
      <c r="A58" s="84" t="s">
        <v>564</v>
      </c>
      <c r="B58" s="84"/>
      <c r="C58" s="84"/>
      <c r="D58" s="84"/>
      <c r="E58" s="84"/>
      <c r="F58" s="84"/>
    </row>
    <row r="59" customFormat="false" ht="27.75" hidden="false" customHeight="true" outlineLevel="0" collapsed="false">
      <c r="A59" s="84" t="s">
        <v>565</v>
      </c>
      <c r="B59" s="84"/>
      <c r="C59" s="84"/>
      <c r="D59" s="84"/>
      <c r="E59" s="84"/>
      <c r="F59" s="84"/>
    </row>
    <row r="60" customFormat="false" ht="27.75" hidden="false" customHeight="true" outlineLevel="0" collapsed="false">
      <c r="A60" s="84" t="s">
        <v>566</v>
      </c>
      <c r="B60" s="84"/>
      <c r="C60" s="84"/>
      <c r="D60" s="84"/>
      <c r="E60" s="84"/>
      <c r="F60" s="84"/>
    </row>
    <row r="61" customFormat="false" ht="27.75" hidden="false" customHeight="true" outlineLevel="0" collapsed="false">
      <c r="A61" s="84" t="s">
        <v>567</v>
      </c>
      <c r="B61" s="84"/>
      <c r="C61" s="84"/>
      <c r="D61" s="84"/>
      <c r="E61" s="84"/>
      <c r="F61" s="84"/>
    </row>
  </sheetData>
  <mergeCells count="24">
    <mergeCell ref="A1:F1"/>
    <mergeCell ref="A2:F2"/>
    <mergeCell ref="A4:F4"/>
    <mergeCell ref="C5:F5"/>
    <mergeCell ref="C6:F6"/>
    <mergeCell ref="C7:F7"/>
    <mergeCell ref="C12:F12"/>
    <mergeCell ref="C13:F13"/>
    <mergeCell ref="A15:F15"/>
    <mergeCell ref="C16:F16"/>
    <mergeCell ref="C17:F17"/>
    <mergeCell ref="A20:F20"/>
    <mergeCell ref="C21:F21"/>
    <mergeCell ref="C22:F22"/>
    <mergeCell ref="A35:F35"/>
    <mergeCell ref="A38:F38"/>
    <mergeCell ref="C47:F47"/>
    <mergeCell ref="A50:F50"/>
    <mergeCell ref="B55:E55"/>
    <mergeCell ref="A57:F57"/>
    <mergeCell ref="A58:F58"/>
    <mergeCell ref="A59:F59"/>
    <mergeCell ref="A60:F60"/>
    <mergeCell ref="A61:F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15"/>
    <col collapsed="false" customWidth="true" hidden="false" outlineLevel="0" max="5" min="5" style="1" width="30"/>
  </cols>
  <sheetData>
    <row r="1" customFormat="false" ht="21.75" hidden="false" customHeight="true" outlineLevel="0" collapsed="false">
      <c r="A1" s="6" t="s">
        <v>568</v>
      </c>
      <c r="B1" s="6"/>
      <c r="C1" s="6"/>
      <c r="D1" s="6"/>
      <c r="E1" s="6"/>
    </row>
    <row r="2" customFormat="false" ht="39.75" hidden="false" customHeight="true" outlineLevel="0" collapsed="false">
      <c r="A2" s="27" t="s">
        <v>569</v>
      </c>
      <c r="B2" s="27"/>
      <c r="C2" s="27"/>
      <c r="D2" s="27"/>
      <c r="E2" s="27"/>
    </row>
    <row r="4" customFormat="false" ht="15" hidden="false" customHeight="true" outlineLevel="0" collapsed="false">
      <c r="A4" s="17" t="s">
        <v>570</v>
      </c>
      <c r="B4" s="17"/>
      <c r="C4" s="17"/>
      <c r="D4" s="17"/>
      <c r="E4" s="17"/>
    </row>
    <row r="5" customFormat="false" ht="15" hidden="false" customHeight="true" outlineLevel="0" collapsed="false">
      <c r="A5" s="8" t="s">
        <v>98</v>
      </c>
      <c r="B5" s="21" t="n">
        <f aca="false">Forutsetninger!$B$14</f>
        <v>1077000</v>
      </c>
    </row>
    <row r="6" customFormat="false" ht="15" hidden="false" customHeight="true" outlineLevel="0" collapsed="false">
      <c r="A6" s="8" t="s">
        <v>99</v>
      </c>
      <c r="B6" s="21" t="n">
        <f aca="false">Forutsetninger!$B$15</f>
        <v>30000</v>
      </c>
    </row>
    <row r="7" customFormat="false" ht="15" hidden="false" customHeight="true" outlineLevel="0" collapsed="false">
      <c r="A7" s="8" t="s">
        <v>326</v>
      </c>
      <c r="B7" s="21" t="n">
        <f aca="false">Forutsetninger!$B$16</f>
        <v>228000</v>
      </c>
    </row>
    <row r="8" customFormat="false" ht="15" hidden="false" customHeight="true" outlineLevel="0" collapsed="false">
      <c r="A8" s="8" t="s">
        <v>102</v>
      </c>
      <c r="B8" s="21" t="n">
        <f aca="false">Forutsetninger!$B$18</f>
        <v>200000</v>
      </c>
      <c r="E8" s="65" t="s">
        <v>571</v>
      </c>
    </row>
    <row r="9" customFormat="false" ht="15" hidden="false" customHeight="true" outlineLevel="0" collapsed="false">
      <c r="A9" s="8" t="s">
        <v>103</v>
      </c>
      <c r="B9" s="21" t="n">
        <f aca="false">Forutsetninger!$B$17</f>
        <v>-21000</v>
      </c>
    </row>
    <row r="10" customFormat="false" ht="15" hidden="false" customHeight="true" outlineLevel="0" collapsed="false">
      <c r="A10" s="34" t="s">
        <v>572</v>
      </c>
      <c r="B10" s="24" t="n">
        <f aca="false">SUM(B5:B9)</f>
        <v>1514000</v>
      </c>
    </row>
    <row r="11" customFormat="false" ht="15" hidden="false" customHeight="true" outlineLevel="0" collapsed="false">
      <c r="A11" s="36" t="s">
        <v>573</v>
      </c>
      <c r="B11" s="37" t="n">
        <f aca="false">B10/3</f>
        <v>504666.666666667</v>
      </c>
    </row>
    <row r="13" customFormat="false" ht="15" hidden="false" customHeight="true" outlineLevel="0" collapsed="false">
      <c r="A13" s="17" t="s">
        <v>574</v>
      </c>
      <c r="B13" s="17"/>
      <c r="C13" s="17"/>
      <c r="D13" s="17"/>
      <c r="E13" s="17"/>
    </row>
    <row r="14" customFormat="false" ht="15" hidden="false" customHeight="true" outlineLevel="0" collapsed="false">
      <c r="A14" s="85"/>
      <c r="B14" s="85" t="s">
        <v>71</v>
      </c>
      <c r="C14" s="85" t="s">
        <v>575</v>
      </c>
      <c r="D14" s="85" t="s">
        <v>75</v>
      </c>
    </row>
    <row r="15" customFormat="false" ht="15" hidden="false" customHeight="true" outlineLevel="0" collapsed="false">
      <c r="A15" s="8" t="s">
        <v>576</v>
      </c>
      <c r="B15" s="74" t="n">
        <v>2000000</v>
      </c>
      <c r="C15" s="74" t="n">
        <v>1540000</v>
      </c>
      <c r="D15" s="74" t="n">
        <v>950000</v>
      </c>
    </row>
    <row r="16" customFormat="false" ht="15" hidden="false" customHeight="true" outlineLevel="0" collapsed="false">
      <c r="A16" s="8" t="s">
        <v>577</v>
      </c>
      <c r="B16" s="38" t="n">
        <f aca="false">Forutsetninger!$B$4</f>
        <v>0.45</v>
      </c>
      <c r="C16" s="38" t="n">
        <f aca="false">Forutsetninger!$B$5</f>
        <v>0.4</v>
      </c>
      <c r="D16" s="38" t="n">
        <f aca="false">Forutsetninger!$B$6</f>
        <v>0.4</v>
      </c>
    </row>
    <row r="17" customFormat="false" ht="15" hidden="false" customHeight="true" outlineLevel="0" collapsed="false">
      <c r="A17" s="8" t="s">
        <v>578</v>
      </c>
      <c r="B17" s="33" t="n">
        <f aca="false">-B15*B16*Forutsetninger!$B$8</f>
        <v>-1170000</v>
      </c>
      <c r="C17" s="33" t="n">
        <f aca="false">-C15*C16*Forutsetninger!$B$8</f>
        <v>-800800</v>
      </c>
      <c r="D17" s="33" t="n">
        <f aca="false">-D15*D16*Forutsetninger!$B$8</f>
        <v>-494000</v>
      </c>
    </row>
    <row r="18" customFormat="false" ht="15" hidden="false" customHeight="true" outlineLevel="0" collapsed="false">
      <c r="A18" s="8" t="s">
        <v>579</v>
      </c>
      <c r="B18" s="33" t="n">
        <f aca="false">-B15*Forutsetninger!$B$12</f>
        <v>-0</v>
      </c>
      <c r="C18" s="33" t="n">
        <f aca="false">-C15*Forutsetninger!$B$12</f>
        <v>-0</v>
      </c>
      <c r="D18" s="33" t="n">
        <f aca="false">-D15*Forutsetninger!$B$12</f>
        <v>-0</v>
      </c>
    </row>
    <row r="19" customFormat="false" ht="15" hidden="false" customHeight="true" outlineLevel="0" collapsed="false">
      <c r="A19" s="34" t="s">
        <v>580</v>
      </c>
      <c r="B19" s="24" t="n">
        <f aca="false">B15+B17+B18</f>
        <v>830000</v>
      </c>
      <c r="C19" s="24" t="n">
        <f aca="false">C15+C17+C18</f>
        <v>739200</v>
      </c>
      <c r="D19" s="24" t="n">
        <f aca="false">D15+D17+D18</f>
        <v>456000</v>
      </c>
    </row>
    <row r="20" customFormat="false" ht="15" hidden="false" customHeight="true" outlineLevel="0" collapsed="false">
      <c r="A20" s="8" t="s">
        <v>581</v>
      </c>
      <c r="B20" s="74" t="n">
        <v>-176227</v>
      </c>
      <c r="C20" s="74" t="n">
        <v>-151652</v>
      </c>
      <c r="D20" s="74" t="n">
        <v>-60188</v>
      </c>
    </row>
    <row r="21" customFormat="false" ht="15" hidden="false" customHeight="true" outlineLevel="0" collapsed="false">
      <c r="A21" s="8" t="s">
        <v>582</v>
      </c>
      <c r="B21" s="33" t="n">
        <v>0</v>
      </c>
      <c r="C21" s="33" t="n">
        <f aca="false">-Forutsetninger!$B$21-Forutsetninger!$B$23*C15</f>
        <v>-636600</v>
      </c>
      <c r="D21" s="33" t="n">
        <v>0</v>
      </c>
    </row>
    <row r="22" customFormat="false" ht="15" hidden="false" customHeight="true" outlineLevel="0" collapsed="false">
      <c r="A22" s="34" t="s">
        <v>583</v>
      </c>
      <c r="B22" s="24" t="n">
        <f aca="false">B19+B20-0</f>
        <v>653773</v>
      </c>
      <c r="C22" s="24" t="n">
        <f aca="false">C19+C20+C21</f>
        <v>-49052</v>
      </c>
      <c r="D22" s="24" t="n">
        <f aca="false">D19+D20-0</f>
        <v>395812</v>
      </c>
    </row>
    <row r="23" customFormat="false" ht="15" hidden="false" customHeight="true" outlineLevel="0" collapsed="false">
      <c r="A23" s="8" t="s">
        <v>584</v>
      </c>
      <c r="B23" s="33" t="n">
        <f aca="false">-$B$11</f>
        <v>-504666.666666667</v>
      </c>
      <c r="C23" s="33" t="n">
        <f aca="false">-$B$11</f>
        <v>-504666.666666667</v>
      </c>
      <c r="D23" s="33" t="n">
        <f aca="false">-$B$11</f>
        <v>-504666.666666667</v>
      </c>
    </row>
    <row r="24" customFormat="false" ht="15" hidden="false" customHeight="true" outlineLevel="0" collapsed="false">
      <c r="A24" s="36" t="s">
        <v>585</v>
      </c>
      <c r="B24" s="37" t="n">
        <f aca="false">B22+B23</f>
        <v>149106.333333333</v>
      </c>
      <c r="C24" s="37" t="n">
        <f aca="false">C22+C23</f>
        <v>-553718.666666667</v>
      </c>
      <c r="D24" s="37" t="n">
        <f aca="false">D22+D23</f>
        <v>-108854.666666667</v>
      </c>
    </row>
    <row r="25" customFormat="false" ht="15" hidden="false" customHeight="true" outlineLevel="0" collapsed="false">
      <c r="A25" s="14" t="s">
        <v>586</v>
      </c>
      <c r="B25" s="86" t="str">
        <f aca="false">IF(B24&gt;=0,"JA","NEI ("&amp;TEXT(B24,"#,##0")&amp;")")</f>
        <v>JA</v>
      </c>
      <c r="C25" s="86" t="str">
        <f aca="false">IF(C24&gt;=0,"JA","NEI ("&amp;TEXT(C24,"#,##0")&amp;")")</f>
        <v>NEI (-553,719)</v>
      </c>
      <c r="D25" s="86" t="str">
        <f aca="false">IF(D24&gt;=0,"JA","NEI ("&amp;TEXT(D24,"#,##0")&amp;")")</f>
        <v>NEI (-108,855)</v>
      </c>
    </row>
    <row r="26" customFormat="false" ht="15" hidden="false" customHeight="true" outlineLevel="0" collapsed="false">
      <c r="A26" s="14" t="s">
        <v>587</v>
      </c>
      <c r="B26" s="75" t="n">
        <f aca="false">($B$11-B20)/(1-B16*Forutsetninger!$B$8-Forutsetninger!$B$12)</f>
        <v>1640707.63052209</v>
      </c>
      <c r="C26" s="75" t="n">
        <f aca="false">($B$11-C20+Forutsetninger!$B$21)/(1-C16*Forutsetninger!$B$8-Forutsetninger!$B$12-Forutsetninger!$B$23)</f>
        <v>2798451.51515152</v>
      </c>
      <c r="D26" s="75" t="n">
        <f aca="false">($B$11-D20)/(1-D16*Forutsetninger!$B$8-Forutsetninger!$B$12)</f>
        <v>1176780.55555556</v>
      </c>
    </row>
    <row r="27" customFormat="false" ht="15" hidden="false" customHeight="true" outlineLevel="0" collapsed="false">
      <c r="A27" s="8" t="s">
        <v>588</v>
      </c>
      <c r="B27" s="33" t="n">
        <f aca="false">B15-B26</f>
        <v>359292.369477911</v>
      </c>
      <c r="C27" s="33" t="n">
        <f aca="false">C15-C26</f>
        <v>-1258451.51515152</v>
      </c>
      <c r="D27" s="33" t="n">
        <f aca="false">D15-D26</f>
        <v>-226780.555555556</v>
      </c>
    </row>
    <row r="29" customFormat="false" ht="15" hidden="false" customHeight="true" outlineLevel="0" collapsed="false">
      <c r="A29" s="87" t="s">
        <v>589</v>
      </c>
      <c r="B29" s="87"/>
      <c r="C29" s="87"/>
      <c r="D29" s="87"/>
      <c r="E29" s="87"/>
    </row>
    <row r="30" customFormat="false" ht="15" hidden="false" customHeight="true" outlineLevel="0" collapsed="false">
      <c r="A30" s="8" t="s">
        <v>590</v>
      </c>
      <c r="B30" s="33" t="n">
        <v>116073</v>
      </c>
      <c r="C30" s="33" t="n">
        <v>119907</v>
      </c>
      <c r="D30" s="33" t="n">
        <v>52910</v>
      </c>
    </row>
    <row r="31" customFormat="false" ht="15" hidden="false" customHeight="true" outlineLevel="0" collapsed="false">
      <c r="A31" s="88" t="s">
        <v>591</v>
      </c>
      <c r="B31" s="89" t="n">
        <v>93054</v>
      </c>
      <c r="C31" s="89" t="n">
        <v>129794</v>
      </c>
      <c r="D31" s="89" t="n">
        <v>44062</v>
      </c>
      <c r="G31" s="1" t="s">
        <v>592</v>
      </c>
    </row>
    <row r="32" customFormat="false" ht="15" hidden="false" customHeight="true" outlineLevel="0" collapsed="false">
      <c r="A32" s="14" t="s">
        <v>593</v>
      </c>
      <c r="B32" s="75" t="n">
        <v>226093</v>
      </c>
      <c r="C32" s="75" t="n">
        <v>250290</v>
      </c>
      <c r="D32" s="75" t="n">
        <v>96972</v>
      </c>
    </row>
    <row r="34" customFormat="false" ht="42" hidden="false" customHeight="true" outlineLevel="0" collapsed="false">
      <c r="A34" s="90" t="s">
        <v>594</v>
      </c>
      <c r="B34" s="90"/>
      <c r="C34" s="90"/>
      <c r="D34" s="90"/>
      <c r="E34" s="90"/>
    </row>
    <row r="35" customFormat="false" ht="15" hidden="false" customHeight="true" outlineLevel="0" collapsed="false">
      <c r="A35" s="90"/>
      <c r="B35" s="90"/>
      <c r="C35" s="90"/>
      <c r="D35" s="90"/>
      <c r="E35" s="90"/>
    </row>
    <row r="36" customFormat="false" ht="15" hidden="false" customHeight="true" outlineLevel="0" collapsed="false">
      <c r="A36" s="90"/>
      <c r="B36" s="90"/>
      <c r="C36" s="90"/>
      <c r="D36" s="90"/>
      <c r="E36" s="90"/>
    </row>
    <row r="38" customFormat="false" ht="15" hidden="false" customHeight="true" outlineLevel="0" collapsed="false">
      <c r="A38" s="1" t="s">
        <v>595</v>
      </c>
      <c r="B38" s="91" t="n">
        <f aca="false">B24+C24+D24</f>
        <v>-513467</v>
      </c>
    </row>
  </sheetData>
  <mergeCells count="6">
    <mergeCell ref="A1:E1"/>
    <mergeCell ref="A2:E2"/>
    <mergeCell ref="A4:E4"/>
    <mergeCell ref="A13:E13"/>
    <mergeCell ref="A29:E29"/>
    <mergeCell ref="A34:E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12"/>
    <col collapsed="false" customWidth="true" hidden="false" outlineLevel="0" max="5" min="5" style="1" width="16"/>
    <col collapsed="false" customWidth="true" hidden="false" outlineLevel="0" max="6" min="6" style="1" width="13"/>
    <col collapsed="false" customWidth="true" hidden="false" outlineLevel="0" max="7" min="7" style="1" width="48"/>
  </cols>
  <sheetData>
    <row r="1" customFormat="false" ht="21.75" hidden="false" customHeight="true" outlineLevel="0" collapsed="false">
      <c r="A1" s="92" t="s">
        <v>596</v>
      </c>
      <c r="B1" s="92"/>
      <c r="C1" s="92"/>
      <c r="D1" s="92"/>
      <c r="E1" s="92"/>
      <c r="F1" s="92"/>
      <c r="G1" s="92"/>
    </row>
    <row r="2" customFormat="false" ht="15.75" hidden="false" customHeight="true" outlineLevel="0" collapsed="false">
      <c r="A2" s="27" t="s">
        <v>597</v>
      </c>
      <c r="B2" s="27"/>
      <c r="C2" s="27"/>
      <c r="D2" s="27"/>
      <c r="E2" s="27"/>
      <c r="F2" s="27"/>
      <c r="G2" s="27"/>
    </row>
    <row r="3" customFormat="false" ht="24" hidden="false" customHeight="true" outlineLevel="0" collapsed="false">
      <c r="A3" s="16" t="s">
        <v>598</v>
      </c>
      <c r="B3" s="16" t="s">
        <v>147</v>
      </c>
      <c r="C3" s="16" t="s">
        <v>599</v>
      </c>
      <c r="D3" s="16" t="s">
        <v>600</v>
      </c>
      <c r="E3" s="16" t="s">
        <v>601</v>
      </c>
      <c r="F3" s="16" t="s">
        <v>602</v>
      </c>
      <c r="G3" s="16" t="s">
        <v>146</v>
      </c>
    </row>
    <row r="4" customFormat="false" ht="15" hidden="false" customHeight="true" outlineLevel="0" collapsed="false">
      <c r="A4" s="7" t="s">
        <v>603</v>
      </c>
      <c r="B4" s="7"/>
      <c r="C4" s="7"/>
      <c r="D4" s="7"/>
      <c r="E4" s="7"/>
      <c r="F4" s="7"/>
      <c r="G4" s="7"/>
    </row>
    <row r="5" customFormat="false" ht="30" hidden="false" customHeight="true" outlineLevel="0" collapsed="false">
      <c r="A5" s="18" t="s">
        <v>604</v>
      </c>
      <c r="B5" s="21" t="n">
        <v>441613</v>
      </c>
      <c r="C5" s="21" t="n">
        <v>304043</v>
      </c>
      <c r="D5" s="21" t="n">
        <f aca="false">C5/0.458</f>
        <v>663849.344978166</v>
      </c>
      <c r="E5" s="93" t="n">
        <v>600000</v>
      </c>
      <c r="F5" s="94" t="s">
        <v>219</v>
      </c>
      <c r="G5" s="95" t="s">
        <v>605</v>
      </c>
    </row>
    <row r="6" customFormat="false" ht="15" hidden="false" customHeight="true" outlineLevel="0" collapsed="false">
      <c r="A6" s="18" t="s">
        <v>606</v>
      </c>
      <c r="B6" s="21" t="n">
        <v>338752</v>
      </c>
      <c r="C6" s="21" t="n">
        <v>119634</v>
      </c>
      <c r="D6" s="21" t="n">
        <f aca="false">C6/0.458</f>
        <v>261209.6069869</v>
      </c>
      <c r="E6" s="19" t="n">
        <v>235000</v>
      </c>
      <c r="F6" s="94" t="s">
        <v>219</v>
      </c>
      <c r="G6" s="96" t="s">
        <v>607</v>
      </c>
    </row>
    <row r="7" customFormat="false" ht="15" hidden="false" customHeight="true" outlineLevel="0" collapsed="false">
      <c r="A7" s="18" t="s">
        <v>608</v>
      </c>
      <c r="B7" s="21" t="n">
        <v>90358</v>
      </c>
      <c r="C7" s="21" t="n">
        <v>43533</v>
      </c>
      <c r="D7" s="21" t="n">
        <f aca="false">C7/0.458</f>
        <v>95050.2183406114</v>
      </c>
      <c r="E7" s="19" t="n">
        <v>0</v>
      </c>
      <c r="F7" s="94" t="s">
        <v>219</v>
      </c>
      <c r="G7" s="96" t="s">
        <v>609</v>
      </c>
    </row>
    <row r="8" customFormat="false" ht="15" hidden="false" customHeight="true" outlineLevel="0" collapsed="false">
      <c r="A8" s="18" t="s">
        <v>610</v>
      </c>
      <c r="B8" s="21" t="n">
        <v>49971</v>
      </c>
      <c r="C8" s="21" t="n">
        <v>17136</v>
      </c>
      <c r="D8" s="21" t="n">
        <f aca="false">C8/0.458</f>
        <v>37414.8471615721</v>
      </c>
      <c r="E8" s="19" t="n">
        <v>50000</v>
      </c>
      <c r="F8" s="94" t="s">
        <v>219</v>
      </c>
      <c r="G8" s="96" t="s">
        <v>611</v>
      </c>
    </row>
    <row r="9" customFormat="false" ht="15" hidden="false" customHeight="true" outlineLevel="0" collapsed="false">
      <c r="A9" s="18" t="s">
        <v>612</v>
      </c>
      <c r="B9" s="21" t="n">
        <v>43474</v>
      </c>
      <c r="C9" s="21" t="n">
        <v>1951</v>
      </c>
      <c r="D9" s="21" t="n">
        <f aca="false">C9/0.458</f>
        <v>4259.82532751092</v>
      </c>
      <c r="E9" s="19" t="n">
        <v>21000</v>
      </c>
      <c r="F9" s="94" t="s">
        <v>219</v>
      </c>
      <c r="G9" s="96" t="s">
        <v>613</v>
      </c>
    </row>
    <row r="10" customFormat="false" ht="15" hidden="false" customHeight="true" outlineLevel="0" collapsed="false">
      <c r="A10" s="18" t="s">
        <v>614</v>
      </c>
      <c r="B10" s="21" t="n">
        <v>51214</v>
      </c>
      <c r="C10" s="21" t="n">
        <v>2902</v>
      </c>
      <c r="D10" s="21" t="n">
        <f aca="false">C10/0.458</f>
        <v>6336.24454148472</v>
      </c>
      <c r="E10" s="19" t="n">
        <v>51000</v>
      </c>
      <c r="F10" s="94" t="s">
        <v>219</v>
      </c>
      <c r="G10" s="96" t="s">
        <v>615</v>
      </c>
    </row>
    <row r="11" customFormat="false" ht="15" hidden="false" customHeight="true" outlineLevel="0" collapsed="false">
      <c r="A11" s="18" t="s">
        <v>616</v>
      </c>
      <c r="B11" s="21" t="n">
        <v>81425</v>
      </c>
      <c r="C11" s="21" t="n">
        <v>0</v>
      </c>
      <c r="D11" s="21" t="n">
        <f aca="false">C11/0.458</f>
        <v>0</v>
      </c>
      <c r="E11" s="19" t="n">
        <v>0</v>
      </c>
      <c r="F11" s="94" t="s">
        <v>219</v>
      </c>
      <c r="G11" s="96" t="s">
        <v>617</v>
      </c>
    </row>
    <row r="12" customFormat="false" ht="15" hidden="false" customHeight="true" outlineLevel="0" collapsed="false">
      <c r="A12" s="18" t="s">
        <v>292</v>
      </c>
      <c r="B12" s="21" t="n">
        <v>53847</v>
      </c>
      <c r="C12" s="21" t="n">
        <v>32018</v>
      </c>
      <c r="D12" s="21" t="n">
        <f aca="false">C12/0.458</f>
        <v>69908.2969432314</v>
      </c>
      <c r="E12" s="19" t="n">
        <v>65000</v>
      </c>
      <c r="F12" s="94" t="s">
        <v>219</v>
      </c>
      <c r="G12" s="96" t="s">
        <v>618</v>
      </c>
    </row>
    <row r="13" customFormat="false" ht="15" hidden="false" customHeight="true" outlineLevel="0" collapsed="false">
      <c r="A13" s="18" t="s">
        <v>619</v>
      </c>
      <c r="B13" s="21" t="n">
        <v>32418</v>
      </c>
      <c r="C13" s="21" t="n">
        <v>6853</v>
      </c>
      <c r="D13" s="21" t="n">
        <f aca="false">C13/0.458</f>
        <v>14962.8820960699</v>
      </c>
      <c r="E13" s="19" t="n">
        <v>25000</v>
      </c>
      <c r="F13" s="94" t="s">
        <v>219</v>
      </c>
      <c r="G13" s="96" t="s">
        <v>620</v>
      </c>
    </row>
    <row r="14" customFormat="false" ht="15" hidden="false" customHeight="true" outlineLevel="0" collapsed="false">
      <c r="A14" s="18" t="s">
        <v>621</v>
      </c>
      <c r="B14" s="21" t="n">
        <v>60065</v>
      </c>
      <c r="C14" s="21" t="n">
        <v>14563</v>
      </c>
      <c r="D14" s="21" t="n">
        <f aca="false">C14/0.458</f>
        <v>31796.943231441</v>
      </c>
      <c r="E14" s="19" t="n">
        <v>14000</v>
      </c>
      <c r="F14" s="94" t="s">
        <v>219</v>
      </c>
      <c r="G14" s="96" t="s">
        <v>622</v>
      </c>
    </row>
    <row r="15" customFormat="false" ht="15" hidden="false" customHeight="true" outlineLevel="0" collapsed="false">
      <c r="A15" s="18" t="s">
        <v>623</v>
      </c>
      <c r="B15" s="21" t="n">
        <v>0</v>
      </c>
      <c r="C15" s="21" t="n">
        <v>16678</v>
      </c>
      <c r="D15" s="21" t="n">
        <f aca="false">C15/0.458</f>
        <v>36414.8471615721</v>
      </c>
      <c r="E15" s="19" t="n">
        <v>16000</v>
      </c>
      <c r="F15" s="94" t="s">
        <v>322</v>
      </c>
      <c r="G15" s="96" t="s">
        <v>624</v>
      </c>
    </row>
    <row r="16" customFormat="false" ht="15" hidden="false" customHeight="true" outlineLevel="0" collapsed="false">
      <c r="A16" s="18" t="s">
        <v>625</v>
      </c>
      <c r="B16" s="21" t="n">
        <v>205770</v>
      </c>
      <c r="C16" s="21" t="n">
        <v>29701</v>
      </c>
      <c r="D16" s="21" t="n">
        <f aca="false">C16/0.458</f>
        <v>64849.3449781659</v>
      </c>
      <c r="E16" s="19" t="n">
        <v>30000</v>
      </c>
      <c r="F16" s="94" t="s">
        <v>322</v>
      </c>
      <c r="G16" s="96" t="s">
        <v>626</v>
      </c>
    </row>
    <row r="17" customFormat="false" ht="15" hidden="false" customHeight="true" outlineLevel="0" collapsed="false">
      <c r="A17" s="23" t="s">
        <v>627</v>
      </c>
      <c r="B17" s="68"/>
      <c r="C17" s="68"/>
      <c r="D17" s="68"/>
      <c r="E17" s="24" t="n">
        <f aca="false">SUM(E5:E16)</f>
        <v>1107000</v>
      </c>
      <c r="F17" s="68"/>
      <c r="G17" s="68"/>
    </row>
    <row r="18" customFormat="false" ht="15" hidden="false" customHeight="true" outlineLevel="0" collapsed="false">
      <c r="A18" s="7" t="s">
        <v>628</v>
      </c>
      <c r="B18" s="7"/>
      <c r="C18" s="7"/>
      <c r="D18" s="7"/>
      <c r="E18" s="7"/>
      <c r="F18" s="7"/>
      <c r="G18" s="7"/>
    </row>
    <row r="19" customFormat="false" ht="21.75" hidden="false" customHeight="true" outlineLevel="0" collapsed="false">
      <c r="A19" s="18" t="s">
        <v>629</v>
      </c>
      <c r="B19" s="21" t="n">
        <v>200000</v>
      </c>
      <c r="C19" s="21" t="n">
        <v>0</v>
      </c>
      <c r="D19" s="21" t="n">
        <f aca="false">C19/0.458</f>
        <v>0</v>
      </c>
      <c r="E19" s="19" t="n">
        <v>200000</v>
      </c>
      <c r="F19" s="94" t="s">
        <v>219</v>
      </c>
      <c r="G19" s="96" t="s">
        <v>630</v>
      </c>
    </row>
    <row r="20" customFormat="false" ht="21.75" hidden="false" customHeight="true" outlineLevel="0" collapsed="false">
      <c r="A20" s="18" t="s">
        <v>631</v>
      </c>
      <c r="B20" s="21" t="n">
        <v>0</v>
      </c>
      <c r="C20" s="21" t="n">
        <v>0</v>
      </c>
      <c r="D20" s="21" t="n">
        <f aca="false">C20/0.458</f>
        <v>0</v>
      </c>
      <c r="E20" s="19" t="n">
        <v>385000</v>
      </c>
      <c r="F20" s="94" t="s">
        <v>73</v>
      </c>
      <c r="G20" s="96" t="s">
        <v>632</v>
      </c>
    </row>
    <row r="21" customFormat="false" ht="15" hidden="false" customHeight="true" outlineLevel="0" collapsed="false">
      <c r="A21" s="7" t="s">
        <v>633</v>
      </c>
      <c r="B21" s="7"/>
      <c r="C21" s="7"/>
      <c r="D21" s="7"/>
      <c r="E21" s="7"/>
      <c r="F21" s="7"/>
      <c r="G21" s="7"/>
    </row>
    <row r="22" customFormat="false" ht="15" hidden="false" customHeight="true" outlineLevel="0" collapsed="false">
      <c r="A22" s="18" t="s">
        <v>634</v>
      </c>
      <c r="B22" s="21" t="n">
        <v>228123</v>
      </c>
      <c r="C22" s="21" t="n">
        <v>23064</v>
      </c>
      <c r="D22" s="21" t="n">
        <f aca="false">C22/0.458</f>
        <v>50358.0786026201</v>
      </c>
      <c r="E22" s="19" t="n">
        <v>228000</v>
      </c>
      <c r="F22" s="94" t="s">
        <v>635</v>
      </c>
      <c r="G22" s="96" t="s">
        <v>636</v>
      </c>
    </row>
    <row r="23" customFormat="false" ht="15" hidden="false" customHeight="true" outlineLevel="0" collapsed="false">
      <c r="A23" s="7" t="s">
        <v>637</v>
      </c>
      <c r="B23" s="7"/>
      <c r="C23" s="7"/>
      <c r="D23" s="7"/>
      <c r="E23" s="7"/>
      <c r="F23" s="7"/>
      <c r="G23" s="7"/>
    </row>
    <row r="24" customFormat="false" ht="30" hidden="false" customHeight="true" outlineLevel="0" collapsed="false">
      <c r="A24" s="18" t="s">
        <v>638</v>
      </c>
      <c r="B24" s="21" t="n">
        <v>146930</v>
      </c>
      <c r="C24" s="21" t="n">
        <v>120280</v>
      </c>
      <c r="D24" s="21" t="n">
        <f aca="false">C24/0.458</f>
        <v>262620.087336245</v>
      </c>
      <c r="E24" s="93" t="n">
        <v>263000</v>
      </c>
      <c r="F24" s="94" t="s">
        <v>639</v>
      </c>
      <c r="G24" s="95" t="s">
        <v>640</v>
      </c>
    </row>
    <row r="25" customFormat="false" ht="30" hidden="false" customHeight="true" outlineLevel="0" collapsed="false">
      <c r="A25" s="18" t="s">
        <v>641</v>
      </c>
      <c r="B25" s="21" t="n">
        <v>97110</v>
      </c>
      <c r="C25" s="21" t="n">
        <v>180855</v>
      </c>
      <c r="D25" s="21" t="n">
        <f aca="false">C25/0.458</f>
        <v>394879.912663755</v>
      </c>
      <c r="E25" s="19" t="n">
        <v>0</v>
      </c>
      <c r="F25" s="94" t="s">
        <v>639</v>
      </c>
      <c r="G25" s="96" t="s">
        <v>642</v>
      </c>
    </row>
    <row r="26" customFormat="false" ht="30" hidden="false" customHeight="true" outlineLevel="0" collapsed="false">
      <c r="A26" s="18" t="s">
        <v>643</v>
      </c>
      <c r="B26" s="21" t="n">
        <v>126936</v>
      </c>
      <c r="C26" s="21" t="n">
        <v>15035</v>
      </c>
      <c r="D26" s="21" t="n">
        <f aca="false">C26/0.458</f>
        <v>32827.5109170306</v>
      </c>
      <c r="E26" s="93" t="n">
        <v>0</v>
      </c>
      <c r="F26" s="94" t="s">
        <v>639</v>
      </c>
      <c r="G26" s="96" t="s">
        <v>644</v>
      </c>
    </row>
    <row r="27" customFormat="false" ht="15" hidden="false" customHeight="true" outlineLevel="0" collapsed="false">
      <c r="A27" s="18" t="s">
        <v>378</v>
      </c>
      <c r="B27" s="21" t="n">
        <v>61757</v>
      </c>
      <c r="C27" s="21" t="n">
        <v>46195</v>
      </c>
      <c r="D27" s="21" t="n">
        <f aca="false">C27/0.458</f>
        <v>100862.445414847</v>
      </c>
      <c r="E27" s="19" t="n">
        <v>95000</v>
      </c>
      <c r="F27" s="94" t="s">
        <v>639</v>
      </c>
      <c r="G27" s="96" t="s">
        <v>645</v>
      </c>
    </row>
    <row r="28" customFormat="false" ht="15" hidden="false" customHeight="true" outlineLevel="0" collapsed="false">
      <c r="A28" s="18" t="s">
        <v>214</v>
      </c>
      <c r="B28" s="21" t="n">
        <v>42872</v>
      </c>
      <c r="C28" s="21" t="n">
        <v>0</v>
      </c>
      <c r="D28" s="21" t="n">
        <f aca="false">C28/0.458</f>
        <v>0</v>
      </c>
      <c r="E28" s="19" t="n">
        <v>30000</v>
      </c>
      <c r="F28" s="94" t="s">
        <v>639</v>
      </c>
      <c r="G28" s="96" t="s">
        <v>646</v>
      </c>
    </row>
    <row r="29" customFormat="false" ht="15" hidden="false" customHeight="true" outlineLevel="0" collapsed="false">
      <c r="A29" s="18" t="s">
        <v>647</v>
      </c>
      <c r="B29" s="21" t="n">
        <v>107461</v>
      </c>
      <c r="C29" s="21" t="n">
        <v>33852</v>
      </c>
      <c r="D29" s="21" t="n">
        <f aca="false">C29/0.458</f>
        <v>73912.6637554585</v>
      </c>
      <c r="E29" s="19" t="n">
        <v>50000</v>
      </c>
      <c r="F29" s="94" t="s">
        <v>639</v>
      </c>
      <c r="G29" s="96" t="s">
        <v>648</v>
      </c>
    </row>
    <row r="30" customFormat="false" ht="15" hidden="false" customHeight="true" outlineLevel="0" collapsed="false">
      <c r="A30" s="18" t="s">
        <v>380</v>
      </c>
      <c r="B30" s="21" t="n">
        <v>44252</v>
      </c>
      <c r="C30" s="21" t="n">
        <v>17765</v>
      </c>
      <c r="D30" s="21" t="n">
        <f aca="false">C30/0.458</f>
        <v>38788.2096069869</v>
      </c>
      <c r="E30" s="19" t="n">
        <v>40000</v>
      </c>
      <c r="F30" s="94" t="s">
        <v>639</v>
      </c>
      <c r="G30" s="96" t="s">
        <v>649</v>
      </c>
    </row>
    <row r="31" customFormat="false" ht="15" hidden="false" customHeight="true" outlineLevel="0" collapsed="false">
      <c r="A31" s="18" t="s">
        <v>650</v>
      </c>
      <c r="B31" s="21" t="n">
        <v>0</v>
      </c>
      <c r="C31" s="21" t="n">
        <v>6781</v>
      </c>
      <c r="D31" s="21" t="n">
        <f aca="false">C31/0.458</f>
        <v>14805.6768558952</v>
      </c>
      <c r="E31" s="19" t="n">
        <v>0</v>
      </c>
      <c r="F31" s="94" t="s">
        <v>639</v>
      </c>
      <c r="G31" s="96" t="s">
        <v>651</v>
      </c>
    </row>
    <row r="32" customFormat="false" ht="15" hidden="false" customHeight="true" outlineLevel="0" collapsed="false">
      <c r="A32" s="23" t="s">
        <v>652</v>
      </c>
      <c r="B32" s="68"/>
      <c r="C32" s="68"/>
      <c r="D32" s="68"/>
      <c r="E32" s="24" t="n">
        <f aca="false">SUM(E24:E31)</f>
        <v>478000</v>
      </c>
      <c r="F32" s="68"/>
      <c r="G32" s="68"/>
    </row>
    <row r="33" customFormat="false" ht="15" hidden="false" customHeight="true" outlineLevel="0" collapsed="false">
      <c r="A33" s="7" t="s">
        <v>653</v>
      </c>
      <c r="B33" s="7"/>
      <c r="C33" s="7"/>
      <c r="D33" s="7"/>
      <c r="E33" s="7"/>
      <c r="F33" s="7"/>
      <c r="G33" s="7"/>
    </row>
    <row r="34" customFormat="false" ht="15" hidden="false" customHeight="true" outlineLevel="0" collapsed="false">
      <c r="A34" s="18" t="s">
        <v>216</v>
      </c>
      <c r="B34" s="21" t="n">
        <v>58690</v>
      </c>
      <c r="C34" s="21" t="n">
        <v>0</v>
      </c>
      <c r="D34" s="21" t="n">
        <f aca="false">C34/0.458</f>
        <v>0</v>
      </c>
      <c r="E34" s="19" t="n">
        <v>0</v>
      </c>
      <c r="F34" s="94" t="s">
        <v>654</v>
      </c>
      <c r="G34" s="96" t="s">
        <v>655</v>
      </c>
    </row>
    <row r="36" customFormat="false" ht="15" hidden="false" customHeight="true" outlineLevel="0" collapsed="false">
      <c r="A36" s="17" t="s">
        <v>656</v>
      </c>
      <c r="B36" s="17"/>
      <c r="C36" s="17"/>
      <c r="D36" s="17"/>
      <c r="E36" s="17"/>
      <c r="F36" s="17"/>
      <c r="G36" s="17"/>
    </row>
    <row r="37" customFormat="false" ht="15" hidden="false" customHeight="true" outlineLevel="0" collapsed="false">
      <c r="A37" s="14" t="s">
        <v>657</v>
      </c>
      <c r="E37" s="37" t="n">
        <f aca="false">E17+E19+E22+E34-21000</f>
        <v>1514000</v>
      </c>
      <c r="G37" s="3" t="s">
        <v>658</v>
      </c>
    </row>
    <row r="38" customFormat="false" ht="15" hidden="false" customHeight="true" outlineLevel="0" collapsed="false">
      <c r="A38" s="14" t="s">
        <v>659</v>
      </c>
      <c r="E38" s="37" t="n">
        <f aca="false">E37/3</f>
        <v>504666.666666667</v>
      </c>
    </row>
    <row r="39" customFormat="false" ht="15" hidden="false" customHeight="true" outlineLevel="0" collapsed="false">
      <c r="A39" s="14" t="s">
        <v>660</v>
      </c>
      <c r="E39" s="37" t="n">
        <f aca="false">E20</f>
        <v>385000</v>
      </c>
    </row>
    <row r="40" customFormat="false" ht="15" hidden="false" customHeight="true" outlineLevel="0" collapsed="false">
      <c r="A40" s="14" t="s">
        <v>661</v>
      </c>
      <c r="E40" s="37" t="n">
        <f aca="false">E32</f>
        <v>478000</v>
      </c>
    </row>
    <row r="41" customFormat="false" ht="15" hidden="false" customHeight="true" outlineLevel="0" collapsed="false">
      <c r="A41" s="8" t="s">
        <v>662</v>
      </c>
      <c r="E41" s="97" t="n">
        <v>105</v>
      </c>
    </row>
    <row r="42" customFormat="false" ht="15" hidden="false" customHeight="true" outlineLevel="0" collapsed="false">
      <c r="A42" s="14" t="s">
        <v>663</v>
      </c>
      <c r="E42" s="37" t="n">
        <f aca="false">E32/E41</f>
        <v>4552.38095238095</v>
      </c>
    </row>
    <row r="43" customFormat="false" ht="25.5" hidden="false" customHeight="true" outlineLevel="0" collapsed="false">
      <c r="A43" s="90" t="s">
        <v>664</v>
      </c>
      <c r="B43" s="90"/>
      <c r="C43" s="90"/>
      <c r="D43" s="90"/>
      <c r="E43" s="90"/>
      <c r="F43" s="90"/>
      <c r="G43" s="90"/>
    </row>
    <row r="44" customFormat="false" ht="15" hidden="false" customHeight="true" outlineLevel="0" collapsed="false">
      <c r="A44" s="90"/>
      <c r="B44" s="90"/>
      <c r="C44" s="90"/>
      <c r="D44" s="90"/>
      <c r="E44" s="90"/>
      <c r="F44" s="90"/>
      <c r="G44" s="90"/>
    </row>
  </sheetData>
  <mergeCells count="9">
    <mergeCell ref="A1:G1"/>
    <mergeCell ref="A2:G2"/>
    <mergeCell ref="A4:G4"/>
    <mergeCell ref="A18:G18"/>
    <mergeCell ref="A21:G21"/>
    <mergeCell ref="A23:G23"/>
    <mergeCell ref="A33:G33"/>
    <mergeCell ref="A36:G36"/>
    <mergeCell ref="A43:G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6"/>
    <col collapsed="false" customWidth="true" hidden="false" outlineLevel="0" max="5" min="5" style="0" width="4"/>
    <col collapsed="false" customWidth="true" hidden="false" outlineLevel="0" max="6" min="6" style="0" width="40"/>
  </cols>
  <sheetData>
    <row r="1" customFormat="false" ht="21.75" hidden="false" customHeight="true" outlineLevel="0" collapsed="false">
      <c r="A1" s="98" t="s">
        <v>665</v>
      </c>
      <c r="B1" s="98"/>
      <c r="C1" s="98"/>
      <c r="D1" s="98"/>
    </row>
    <row r="2" customFormat="false" ht="39.75" hidden="false" customHeight="true" outlineLevel="0" collapsed="false">
      <c r="A2" s="99" t="s">
        <v>666</v>
      </c>
      <c r="B2" s="99"/>
      <c r="C2" s="99"/>
      <c r="D2" s="99"/>
      <c r="E2" s="99"/>
      <c r="F2" s="99"/>
    </row>
    <row r="4" customFormat="false" ht="15" hidden="false" customHeight="false" outlineLevel="0" collapsed="false">
      <c r="A4" s="100" t="s">
        <v>667</v>
      </c>
      <c r="B4" s="100"/>
      <c r="C4" s="100"/>
      <c r="D4" s="100"/>
    </row>
    <row r="5" customFormat="false" ht="15" hidden="false" customHeight="false" outlineLevel="0" collapsed="false">
      <c r="A5" s="85"/>
      <c r="B5" s="85" t="s">
        <v>668</v>
      </c>
      <c r="C5" s="85" t="s">
        <v>75</v>
      </c>
      <c r="D5" s="85" t="s">
        <v>71</v>
      </c>
    </row>
    <row r="6" customFormat="false" ht="15" hidden="false" customHeight="false" outlineLevel="0" collapsed="false">
      <c r="A6" s="101" t="s">
        <v>669</v>
      </c>
      <c r="B6" s="102" t="n">
        <v>305</v>
      </c>
      <c r="C6" s="102" t="n">
        <v>494</v>
      </c>
      <c r="D6" s="102" t="n">
        <v>51</v>
      </c>
      <c r="F6" s="3" t="s">
        <v>670</v>
      </c>
    </row>
    <row r="7" customFormat="false" ht="15" hidden="false" customHeight="false" outlineLevel="0" collapsed="false">
      <c r="A7" s="101" t="s">
        <v>671</v>
      </c>
      <c r="B7" s="102" t="n">
        <v>83</v>
      </c>
      <c r="C7" s="102" t="n">
        <v>21</v>
      </c>
      <c r="D7" s="102" t="n">
        <v>23</v>
      </c>
      <c r="F7" s="3" t="s">
        <v>672</v>
      </c>
    </row>
    <row r="8" customFormat="false" ht="22.35" hidden="false" customHeight="false" outlineLevel="0" collapsed="false">
      <c r="A8" s="101" t="s">
        <v>673</v>
      </c>
      <c r="B8" s="102" t="n">
        <v>23</v>
      </c>
      <c r="C8" s="102" t="n">
        <v>11</v>
      </c>
      <c r="D8" s="102" t="n">
        <v>17</v>
      </c>
      <c r="F8" s="3" t="s">
        <v>674</v>
      </c>
    </row>
    <row r="9" customFormat="false" ht="15" hidden="false" customHeight="false" outlineLevel="0" collapsed="false">
      <c r="A9" s="101" t="s">
        <v>675</v>
      </c>
      <c r="B9" s="102" t="n">
        <v>19</v>
      </c>
      <c r="C9" s="102" t="n">
        <v>11</v>
      </c>
      <c r="D9" s="102" t="n">
        <v>17</v>
      </c>
      <c r="F9" s="3" t="s">
        <v>676</v>
      </c>
    </row>
    <row r="10" customFormat="false" ht="22.35" hidden="false" customHeight="false" outlineLevel="0" collapsed="false">
      <c r="A10" s="101" t="s">
        <v>677</v>
      </c>
      <c r="B10" s="102" t="n">
        <v>36</v>
      </c>
      <c r="C10" s="102" t="n">
        <v>13</v>
      </c>
      <c r="D10" s="102" t="n">
        <v>11</v>
      </c>
      <c r="F10" s="3" t="s">
        <v>678</v>
      </c>
    </row>
    <row r="12" customFormat="false" ht="15" hidden="false" customHeight="false" outlineLevel="0" collapsed="false">
      <c r="A12" s="100" t="s">
        <v>679</v>
      </c>
      <c r="B12" s="100"/>
      <c r="C12" s="100"/>
      <c r="D12" s="100"/>
    </row>
    <row r="13" customFormat="false" ht="15" hidden="false" customHeight="false" outlineLevel="0" collapsed="false">
      <c r="A13" s="101" t="s">
        <v>680</v>
      </c>
      <c r="B13" s="103" t="n">
        <f aca="false">B7/B6</f>
        <v>0.272131147540984</v>
      </c>
      <c r="C13" s="103" t="n">
        <f aca="false">C7/C6</f>
        <v>0.0425101214574899</v>
      </c>
      <c r="D13" s="104" t="s">
        <v>681</v>
      </c>
      <c r="F13" s="105" t="s">
        <v>682</v>
      </c>
    </row>
    <row r="14" customFormat="false" ht="15" hidden="false" customHeight="false" outlineLevel="0" collapsed="false">
      <c r="A14" s="101" t="s">
        <v>683</v>
      </c>
      <c r="B14" s="103" t="n">
        <f aca="false">B8/B7</f>
        <v>0.27710843373494</v>
      </c>
      <c r="C14" s="103" t="n">
        <f aca="false">C8/C7</f>
        <v>0.523809523809524</v>
      </c>
      <c r="D14" s="103" t="n">
        <f aca="false">D8/D7</f>
        <v>0.739130434782609</v>
      </c>
      <c r="F14" s="105"/>
    </row>
    <row r="15" customFormat="false" ht="15" hidden="false" customHeight="false" outlineLevel="0" collapsed="false">
      <c r="A15" s="101" t="s">
        <v>684</v>
      </c>
      <c r="B15" s="103" t="n">
        <f aca="false">B9/B8</f>
        <v>0.826086956521739</v>
      </c>
      <c r="C15" s="103" t="n">
        <f aca="false">C9/C8</f>
        <v>1</v>
      </c>
      <c r="D15" s="103" t="n">
        <f aca="false">D9/D8</f>
        <v>1</v>
      </c>
      <c r="F15" s="105"/>
    </row>
    <row r="16" customFormat="false" ht="15" hidden="false" customHeight="false" outlineLevel="0" collapsed="false">
      <c r="A16" s="101" t="s">
        <v>685</v>
      </c>
      <c r="B16" s="103" t="n">
        <f aca="false">B9/B7</f>
        <v>0.228915662650602</v>
      </c>
      <c r="C16" s="103" t="n">
        <f aca="false">C9/C7</f>
        <v>0.523809523809524</v>
      </c>
      <c r="D16" s="103" t="n">
        <f aca="false">D9/D7</f>
        <v>0.739130434782609</v>
      </c>
      <c r="F16" s="105"/>
    </row>
    <row r="17" customFormat="false" ht="15" hidden="false" customHeight="true" outlineLevel="0" collapsed="false">
      <c r="A17" s="106" t="s">
        <v>686</v>
      </c>
      <c r="B17" s="106"/>
      <c r="C17" s="106"/>
      <c r="D17" s="106"/>
      <c r="E17" s="106"/>
      <c r="F17" s="106"/>
    </row>
    <row r="18" customFormat="false" ht="15" hidden="false" customHeight="false" outlineLevel="0" collapsed="false">
      <c r="A18" s="106"/>
      <c r="B18" s="106"/>
      <c r="C18" s="106"/>
      <c r="D18" s="106"/>
      <c r="E18" s="106"/>
      <c r="F18" s="106"/>
    </row>
    <row r="20" customFormat="false" ht="15" hidden="false" customHeight="false" outlineLevel="0" collapsed="false">
      <c r="A20" s="100" t="s">
        <v>687</v>
      </c>
      <c r="B20" s="100"/>
      <c r="C20" s="100"/>
      <c r="D20" s="100"/>
    </row>
    <row r="21" customFormat="false" ht="15" hidden="false" customHeight="false" outlineLevel="0" collapsed="false">
      <c r="A21" s="99" t="s">
        <v>688</v>
      </c>
      <c r="B21" s="99"/>
      <c r="C21" s="99"/>
      <c r="D21" s="99"/>
      <c r="E21" s="99"/>
      <c r="F21" s="99"/>
    </row>
    <row r="22" customFormat="false" ht="15" hidden="false" customHeight="false" outlineLevel="0" collapsed="false">
      <c r="A22" s="85"/>
      <c r="B22" s="85" t="s">
        <v>668</v>
      </c>
      <c r="C22" s="85" t="s">
        <v>75</v>
      </c>
      <c r="D22" s="85" t="s">
        <v>71</v>
      </c>
    </row>
    <row r="23" customFormat="false" ht="15" hidden="false" customHeight="false" outlineLevel="0" collapsed="false">
      <c r="A23" s="101" t="s">
        <v>689</v>
      </c>
      <c r="B23" s="107" t="n">
        <v>2367000</v>
      </c>
      <c r="C23" s="107" t="n">
        <v>1176781</v>
      </c>
      <c r="D23" s="107" t="n">
        <v>1619824</v>
      </c>
    </row>
    <row r="24" customFormat="false" ht="15" hidden="false" customHeight="false" outlineLevel="0" collapsed="false">
      <c r="A24" s="101" t="s">
        <v>690</v>
      </c>
      <c r="B24" s="107" t="n">
        <v>64767</v>
      </c>
      <c r="C24" s="107" t="n">
        <v>64767</v>
      </c>
      <c r="D24" s="107" t="n">
        <v>64767</v>
      </c>
    </row>
    <row r="25" customFormat="false" ht="22.35" hidden="false" customHeight="false" outlineLevel="0" collapsed="false">
      <c r="A25" s="101" t="s">
        <v>691</v>
      </c>
      <c r="B25" s="108" t="n">
        <v>0.6</v>
      </c>
      <c r="C25" s="108" t="n">
        <v>0.6</v>
      </c>
      <c r="D25" s="108" t="n">
        <v>0.6</v>
      </c>
      <c r="F25" s="3" t="s">
        <v>692</v>
      </c>
    </row>
    <row r="26" customFormat="false" ht="15" hidden="false" customHeight="false" outlineLevel="0" collapsed="false">
      <c r="A26" s="109" t="s">
        <v>693</v>
      </c>
      <c r="B26" s="110" t="n">
        <f aca="false">B23/B24</f>
        <v>36.5463893649544</v>
      </c>
      <c r="C26" s="110" t="n">
        <f aca="false">C23/C24</f>
        <v>18.1694535797551</v>
      </c>
      <c r="D26" s="110" t="n">
        <f aca="false">D23/D24</f>
        <v>25.0100205351491</v>
      </c>
    </row>
    <row r="27" customFormat="false" ht="15" hidden="false" customHeight="false" outlineLevel="0" collapsed="false">
      <c r="A27" s="109" t="s">
        <v>694</v>
      </c>
      <c r="B27" s="110" t="n">
        <f aca="false">B26/B25</f>
        <v>60.9106489415906</v>
      </c>
      <c r="C27" s="110" t="n">
        <f aca="false">C26/C25</f>
        <v>30.2824226329252</v>
      </c>
      <c r="D27" s="110" t="n">
        <f aca="false">D26/D25</f>
        <v>41.6833675585818</v>
      </c>
      <c r="F27" s="3" t="s">
        <v>695</v>
      </c>
    </row>
    <row r="28" customFormat="false" ht="15" hidden="false" customHeight="false" outlineLevel="0" collapsed="false">
      <c r="A28" s="101" t="s">
        <v>696</v>
      </c>
      <c r="B28" s="111" t="n">
        <f aca="false">B27/(B9/B8)</f>
        <v>73.7339434556097</v>
      </c>
      <c r="C28" s="111" t="n">
        <f aca="false">C27/(C9/C8)</f>
        <v>30.2824226329252</v>
      </c>
      <c r="D28" s="111" t="n">
        <f aca="false">D27/(D9/D8)</f>
        <v>41.6833675585818</v>
      </c>
    </row>
    <row r="29" customFormat="false" ht="15" hidden="false" customHeight="false" outlineLevel="0" collapsed="false">
      <c r="A29" s="101" t="s">
        <v>697</v>
      </c>
      <c r="B29" s="111" t="n">
        <f aca="false">B27/(B9/B7)</f>
        <v>266.083361165896</v>
      </c>
      <c r="C29" s="111" t="n">
        <f aca="false">C27/(C9/C7)</f>
        <v>57.8118977537663</v>
      </c>
      <c r="D29" s="111" t="n">
        <f aca="false">D27/(D9/D7)</f>
        <v>56.3951443439636</v>
      </c>
    </row>
    <row r="30" customFormat="false" ht="15" hidden="false" customHeight="false" outlineLevel="0" collapsed="false">
      <c r="A30" s="109" t="s">
        <v>698</v>
      </c>
      <c r="B30" s="110" t="n">
        <f aca="false">B29/(B7/B6)</f>
        <v>977.776206693955</v>
      </c>
      <c r="C30" s="110" t="n">
        <f aca="false">C29/(C7/C6)</f>
        <v>1359.95607096955</v>
      </c>
      <c r="D30" s="110" t="s">
        <v>681</v>
      </c>
      <c r="F30" s="3" t="s">
        <v>699</v>
      </c>
    </row>
    <row r="31" customFormat="false" ht="15" hidden="false" customHeight="false" outlineLevel="0" collapsed="false">
      <c r="A31" s="101" t="s">
        <v>700</v>
      </c>
      <c r="B31" s="112" t="n">
        <f aca="false">B6/0.46</f>
        <v>663.04347826087</v>
      </c>
      <c r="C31" s="112" t="n">
        <f aca="false">C6/0.46</f>
        <v>1073.91304347826</v>
      </c>
      <c r="D31" s="112" t="s">
        <v>681</v>
      </c>
    </row>
    <row r="33" customFormat="false" ht="15" hidden="false" customHeight="false" outlineLevel="0" collapsed="false">
      <c r="A33" s="100" t="s">
        <v>701</v>
      </c>
      <c r="B33" s="100"/>
      <c r="C33" s="100"/>
      <c r="D33" s="100"/>
    </row>
    <row r="34" customFormat="false" ht="25.5" hidden="false" customHeight="true" outlineLevel="0" collapsed="false">
      <c r="A34" s="84" t="s">
        <v>702</v>
      </c>
      <c r="B34" s="84"/>
      <c r="C34" s="84"/>
      <c r="D34" s="84"/>
      <c r="E34" s="84"/>
      <c r="F34" s="84"/>
    </row>
    <row r="35" customFormat="false" ht="25.5" hidden="false" customHeight="true" outlineLevel="0" collapsed="false">
      <c r="A35" s="84" t="s">
        <v>703</v>
      </c>
      <c r="B35" s="84"/>
      <c r="C35" s="84"/>
      <c r="D35" s="84"/>
      <c r="E35" s="84"/>
      <c r="F35" s="84"/>
    </row>
    <row r="36" customFormat="false" ht="25.5" hidden="false" customHeight="true" outlineLevel="0" collapsed="false">
      <c r="A36" s="84" t="s">
        <v>704</v>
      </c>
      <c r="B36" s="84"/>
      <c r="C36" s="84"/>
      <c r="D36" s="84"/>
      <c r="E36" s="84"/>
      <c r="F36" s="84"/>
    </row>
    <row r="37" customFormat="false" ht="25.5" hidden="false" customHeight="true" outlineLevel="0" collapsed="false">
      <c r="A37" s="84" t="s">
        <v>705</v>
      </c>
      <c r="B37" s="84"/>
      <c r="C37" s="84"/>
      <c r="D37" s="84"/>
      <c r="E37" s="84"/>
      <c r="F37" s="84"/>
    </row>
    <row r="38" customFormat="false" ht="25.5" hidden="false" customHeight="true" outlineLevel="0" collapsed="false">
      <c r="A38" s="84" t="s">
        <v>706</v>
      </c>
      <c r="B38" s="84"/>
      <c r="C38" s="84"/>
      <c r="D38" s="84"/>
      <c r="E38" s="84"/>
      <c r="F38" s="84"/>
    </row>
  </sheetData>
  <mergeCells count="13">
    <mergeCell ref="A1:D1"/>
    <mergeCell ref="A2:F2"/>
    <mergeCell ref="A4:D4"/>
    <mergeCell ref="A12:D12"/>
    <mergeCell ref="A17:F18"/>
    <mergeCell ref="A20:D20"/>
    <mergeCell ref="A21:F21"/>
    <mergeCell ref="A33:D33"/>
    <mergeCell ref="A34:F34"/>
    <mergeCell ref="A35:F35"/>
    <mergeCell ref="A36:F36"/>
    <mergeCell ref="A37:F37"/>
    <mergeCell ref="A38:F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2026-06-16T14:28:50Z</dcterms:created>
  <dc:creator>openpyxl</dc:creator>
  <dc:description/>
  <dc:language>en-US</dc:language>
  <cp:lastModifiedBy/>
  <dcterms:modified xsi:type="dcterms:W3CDTF">2026-06-21T19:47:58Z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
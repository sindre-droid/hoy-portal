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/Users/sindrejacobsen/Dropbox/Back-office/2024/"/>
    </mc:Choice>
  </mc:AlternateContent>
  <xr:revisionPtr revIDLastSave="887" documentId="13_ncr:1_{3BA6CC95-2BC1-4342-A3D9-D4B75143C154}" xr6:coauthVersionLast="47" xr6:coauthVersionMax="47" xr10:uidLastSave="{76CE4211-41DE-4A29-A1A4-AFF737FAE2CC}"/>
  <bookViews>
    <workbookView xWindow="380" yWindow="500" windowWidth="37540" windowHeight="28300" xr2:uid="{00000000-000D-0000-FFFF-FFFF00000000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7NWQhgGhXebCyoWmRu7vvDRT/UQbHMjuCcKHuYH/b4U="/>
    </ext>
  </extLst>
</workbook>
</file>

<file path=xl/calcChain.xml><?xml version="1.0" encoding="utf-8"?>
<calcChain xmlns="http://schemas.openxmlformats.org/spreadsheetml/2006/main">
  <c r="G12" i="1" l="1"/>
  <c r="G11" i="1"/>
  <c r="I11" i="1"/>
  <c r="I12" i="1"/>
  <c r="I13" i="1"/>
  <c r="I14" i="1"/>
  <c r="I10" i="1"/>
  <c r="H4" i="1"/>
  <c r="H5" i="1"/>
  <c r="H6" i="1"/>
  <c r="H7" i="1"/>
  <c r="H8" i="1"/>
  <c r="H9" i="1"/>
  <c r="H10" i="1"/>
  <c r="H11" i="1"/>
  <c r="H12" i="1"/>
  <c r="H13" i="1"/>
  <c r="H14" i="1"/>
  <c r="H3" i="1"/>
  <c r="G4" i="1"/>
  <c r="G5" i="1"/>
  <c r="G6" i="1"/>
  <c r="G7" i="1"/>
  <c r="G8" i="1"/>
  <c r="G9" i="1"/>
  <c r="G10" i="1"/>
  <c r="G13" i="1"/>
  <c r="G14" i="1"/>
  <c r="G3" i="1"/>
  <c r="I9" i="1"/>
  <c r="I8" i="1"/>
  <c r="I86" i="1"/>
  <c r="H86" i="1"/>
  <c r="G86" i="1"/>
  <c r="C86" i="1"/>
  <c r="F86" i="1" s="1"/>
  <c r="B86" i="1"/>
  <c r="F85" i="1"/>
  <c r="E85" i="1"/>
  <c r="J85" i="1" s="1"/>
  <c r="F84" i="1"/>
  <c r="E84" i="1"/>
  <c r="J84" i="1" s="1"/>
  <c r="F83" i="1"/>
  <c r="E83" i="1"/>
  <c r="J83" i="1" s="1"/>
  <c r="F82" i="1"/>
  <c r="E82" i="1"/>
  <c r="J82" i="1" s="1"/>
  <c r="F81" i="1"/>
  <c r="E81" i="1"/>
  <c r="J81" i="1" s="1"/>
  <c r="F80" i="1"/>
  <c r="E80" i="1"/>
  <c r="J80" i="1" s="1"/>
  <c r="F79" i="1"/>
  <c r="E79" i="1"/>
  <c r="J79" i="1" s="1"/>
  <c r="F78" i="1"/>
  <c r="E78" i="1"/>
  <c r="J78" i="1" s="1"/>
  <c r="F77" i="1"/>
  <c r="E77" i="1"/>
  <c r="J77" i="1" s="1"/>
  <c r="F76" i="1"/>
  <c r="E76" i="1"/>
  <c r="J76" i="1" s="1"/>
  <c r="F75" i="1"/>
  <c r="E75" i="1"/>
  <c r="J75" i="1" s="1"/>
  <c r="F74" i="1"/>
  <c r="E74" i="1"/>
  <c r="C4" i="1"/>
  <c r="C5" i="1"/>
  <c r="C6" i="1"/>
  <c r="C7" i="1"/>
  <c r="C8" i="1"/>
  <c r="C9" i="1"/>
  <c r="C10" i="1"/>
  <c r="C11" i="1"/>
  <c r="C12" i="1"/>
  <c r="C13" i="1"/>
  <c r="C14" i="1"/>
  <c r="C3" i="1"/>
  <c r="B4" i="1"/>
  <c r="B5" i="1"/>
  <c r="B6" i="1"/>
  <c r="B7" i="1"/>
  <c r="B8" i="1"/>
  <c r="B9" i="1"/>
  <c r="B10" i="1"/>
  <c r="B11" i="1"/>
  <c r="B12" i="1"/>
  <c r="B13" i="1"/>
  <c r="B14" i="1"/>
  <c r="B3" i="1"/>
  <c r="I4" i="1"/>
  <c r="I5" i="1"/>
  <c r="I6" i="1"/>
  <c r="I7" i="1"/>
  <c r="I3" i="1"/>
  <c r="I15" i="1"/>
  <c r="C15" i="1"/>
  <c r="F66" i="1"/>
  <c r="H15" i="1"/>
  <c r="I69" i="1"/>
  <c r="H69" i="1"/>
  <c r="G69" i="1"/>
  <c r="C69" i="1"/>
  <c r="F69" i="1" s="1"/>
  <c r="B69" i="1"/>
  <c r="F68" i="1"/>
  <c r="E68" i="1"/>
  <c r="J68" i="1" s="1"/>
  <c r="F67" i="1"/>
  <c r="E67" i="1"/>
  <c r="J67" i="1" s="1"/>
  <c r="E66" i="1"/>
  <c r="J66" i="1" s="1"/>
  <c r="F65" i="1"/>
  <c r="E65" i="1"/>
  <c r="J65" i="1" s="1"/>
  <c r="F64" i="1"/>
  <c r="E64" i="1"/>
  <c r="J64" i="1" s="1"/>
  <c r="F63" i="1"/>
  <c r="E63" i="1"/>
  <c r="J63" i="1" s="1"/>
  <c r="F62" i="1"/>
  <c r="E62" i="1"/>
  <c r="J62" i="1" s="1"/>
  <c r="F61" i="1"/>
  <c r="E61" i="1"/>
  <c r="J61" i="1" s="1"/>
  <c r="F60" i="1"/>
  <c r="E60" i="1"/>
  <c r="J60" i="1" s="1"/>
  <c r="F59" i="1"/>
  <c r="E59" i="1"/>
  <c r="F58" i="1"/>
  <c r="E58" i="1"/>
  <c r="F57" i="1"/>
  <c r="E57" i="1"/>
  <c r="I35" i="1"/>
  <c r="I52" i="1"/>
  <c r="H52" i="1"/>
  <c r="G52" i="1"/>
  <c r="C52" i="1"/>
  <c r="B52" i="1"/>
  <c r="F51" i="1"/>
  <c r="E51" i="1"/>
  <c r="J51" i="1" s="1"/>
  <c r="F50" i="1"/>
  <c r="E50" i="1"/>
  <c r="J50" i="1" s="1"/>
  <c r="F49" i="1"/>
  <c r="E49" i="1"/>
  <c r="J49" i="1" s="1"/>
  <c r="F48" i="1"/>
  <c r="E48" i="1"/>
  <c r="J48" i="1" s="1"/>
  <c r="F47" i="1"/>
  <c r="E47" i="1"/>
  <c r="J47" i="1" s="1"/>
  <c r="F46" i="1"/>
  <c r="E46" i="1"/>
  <c r="J46" i="1" s="1"/>
  <c r="F45" i="1"/>
  <c r="E45" i="1"/>
  <c r="J45" i="1" s="1"/>
  <c r="F44" i="1"/>
  <c r="E44" i="1"/>
  <c r="J44" i="1" s="1"/>
  <c r="F43" i="1"/>
  <c r="E43" i="1"/>
  <c r="J43" i="1" s="1"/>
  <c r="F42" i="1"/>
  <c r="E42" i="1"/>
  <c r="J42" i="1" s="1"/>
  <c r="F41" i="1"/>
  <c r="E41" i="1"/>
  <c r="J41" i="1" s="1"/>
  <c r="F40" i="1"/>
  <c r="E40" i="1"/>
  <c r="J40" i="1" s="1"/>
  <c r="H35" i="1"/>
  <c r="G35" i="1"/>
  <c r="C35" i="1"/>
  <c r="B35" i="1"/>
  <c r="F34" i="1"/>
  <c r="E34" i="1"/>
  <c r="F33" i="1"/>
  <c r="E33" i="1"/>
  <c r="F32" i="1"/>
  <c r="E32" i="1"/>
  <c r="E12" i="1" s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J25" i="1" s="1"/>
  <c r="F24" i="1"/>
  <c r="E24" i="1"/>
  <c r="J24" i="1" s="1"/>
  <c r="F23" i="1"/>
  <c r="E23" i="1"/>
  <c r="F14" i="1"/>
  <c r="F13" i="1"/>
  <c r="F12" i="1"/>
  <c r="F11" i="1"/>
  <c r="F10" i="1"/>
  <c r="F9" i="1"/>
  <c r="F8" i="1"/>
  <c r="F7" i="1"/>
  <c r="F6" i="1"/>
  <c r="F5" i="1"/>
  <c r="F4" i="1"/>
  <c r="F3" i="1"/>
  <c r="G15" i="1" l="1"/>
  <c r="J26" i="1"/>
  <c r="E6" i="1"/>
  <c r="J6" i="1" s="1"/>
  <c r="J27" i="1"/>
  <c r="E7" i="1"/>
  <c r="J28" i="1"/>
  <c r="E8" i="1"/>
  <c r="J8" i="1" s="1"/>
  <c r="J29" i="1"/>
  <c r="E9" i="1"/>
  <c r="J30" i="1"/>
  <c r="E10" i="1"/>
  <c r="J10" i="1" s="1"/>
  <c r="J31" i="1"/>
  <c r="E11" i="1"/>
  <c r="J33" i="1"/>
  <c r="E13" i="1"/>
  <c r="J34" i="1"/>
  <c r="E14" i="1"/>
  <c r="E3" i="1"/>
  <c r="E86" i="1"/>
  <c r="J74" i="1"/>
  <c r="J86" i="1"/>
  <c r="J59" i="1"/>
  <c r="E5" i="1"/>
  <c r="J58" i="1"/>
  <c r="E4" i="1"/>
  <c r="F52" i="1"/>
  <c r="E69" i="1"/>
  <c r="J57" i="1"/>
  <c r="J69" i="1"/>
  <c r="F35" i="1"/>
  <c r="J14" i="1"/>
  <c r="J12" i="1"/>
  <c r="J32" i="1"/>
  <c r="B15" i="1"/>
  <c r="J4" i="1"/>
  <c r="E35" i="1"/>
  <c r="J35" i="1" s="1"/>
  <c r="J9" i="1"/>
  <c r="J13" i="1"/>
  <c r="J5" i="1"/>
  <c r="F15" i="1"/>
  <c r="E52" i="1"/>
  <c r="J52" i="1" s="1"/>
  <c r="J3" i="1"/>
  <c r="J7" i="1"/>
  <c r="J11" i="1"/>
  <c r="J23" i="1"/>
  <c r="E15" i="1" l="1"/>
  <c r="J15" i="1" s="1"/>
</calcChain>
</file>

<file path=xl/sharedStrings.xml><?xml version="1.0" encoding="utf-8"?>
<sst xmlns="http://schemas.openxmlformats.org/spreadsheetml/2006/main" count="185" uniqueCount="90">
  <si>
    <t>Salgsbudsjett HoY 2025</t>
  </si>
  <si>
    <t>Måned</t>
  </si>
  <si>
    <t>Budsjett Salg</t>
  </si>
  <si>
    <t xml:space="preserve">Budsjett Oppdrag </t>
  </si>
  <si>
    <t>Honorar pr båt</t>
  </si>
  <si>
    <t>Budsjett Honorar</t>
  </si>
  <si>
    <t>Progress oppdrag</t>
  </si>
  <si>
    <t>Oppnådd salg</t>
  </si>
  <si>
    <t>Oppnådd oppdrag</t>
  </si>
  <si>
    <t>Oppnådd budsjett</t>
  </si>
  <si>
    <t>Progress budsjett</t>
  </si>
  <si>
    <t xml:space="preserve">Januar </t>
  </si>
  <si>
    <t>Februar</t>
  </si>
  <si>
    <t xml:space="preserve">Mars </t>
  </si>
  <si>
    <t>April</t>
  </si>
  <si>
    <t xml:space="preserve">Mai </t>
  </si>
  <si>
    <t>Juni</t>
  </si>
  <si>
    <t>Juli</t>
  </si>
  <si>
    <t xml:space="preserve">August </t>
  </si>
  <si>
    <t xml:space="preserve">September </t>
  </si>
  <si>
    <t xml:space="preserve">Oktober </t>
  </si>
  <si>
    <t xml:space="preserve">November </t>
  </si>
  <si>
    <t>Desember</t>
  </si>
  <si>
    <t xml:space="preserve">Totalt </t>
  </si>
  <si>
    <t>Salgsbudsjett Jeanette 2025</t>
  </si>
  <si>
    <t>Nordic Oceancraft CAT</t>
  </si>
  <si>
    <t>Fjord Terne 28,</t>
  </si>
  <si>
    <t>Hanse 388, Fjord Terne 28, Baltic 52</t>
  </si>
  <si>
    <t>Baltic 52</t>
  </si>
  <si>
    <t>Hallberg Rassy 43</t>
  </si>
  <si>
    <t>Bavaria CR41</t>
  </si>
  <si>
    <t>Bavaria 41 CR</t>
  </si>
  <si>
    <t>Carmen IV</t>
  </si>
  <si>
    <t>Hanse 388, Fjord Terne 28, Nidelv 300 Sport</t>
  </si>
  <si>
    <t>Nidelv 300 Sport, Fjord Terne 28</t>
  </si>
  <si>
    <t>Fjord Terne 28</t>
  </si>
  <si>
    <t>Salgsbudsjett Sindre 2025</t>
  </si>
  <si>
    <t>Grand Banks 45, Windy 28 Ghibli</t>
  </si>
  <si>
    <t xml:space="preserve">Goldfish 28 Tender, Goldfish 30 Sport, </t>
  </si>
  <si>
    <t>Goldfish 28 Bullet, Rupert R6</t>
  </si>
  <si>
    <t>Cormate 35 Chase, Goldfish 28 Bullet, Beneteau 41 Sedan, Nimbus 230R, Grand Banks 52, Seaside 23, Goldfish 28 Tender, Rupert R6, Goldfish 28 Tender, Sandvik 945</t>
  </si>
  <si>
    <t>Goldfish 30 Sport, Goldfish 30 Sport, Goldfish 30 Sport, Goldfish 38</t>
  </si>
  <si>
    <t>Lagoon 52F, Timeless 34, Skorgenes 445</t>
  </si>
  <si>
    <t>Goldfish 28 Tender, Hydrolift X-26S-R, Goldfish 30 Sport, Hydrolift X-26S-R</t>
  </si>
  <si>
    <t xml:space="preserve">Windy 35 Khamsin, Cormate 23 SU, Windy 28 Ghibli, </t>
  </si>
  <si>
    <t>Cormate 23, Axopar 28, Paragon 31, Axopar 37 XC, Goldfish 28 Bullet, Seaside 23, Hallberg Rassy 43, Scand Baltic, Nimbus 230R, Windy 28 Ghibli</t>
  </si>
  <si>
    <t>Jeanneau Sun Oddysey 519, Paragon 25, Goldfish 23 Tender, Fairline Squadron 55, Grandezza 27</t>
  </si>
  <si>
    <t>Nimbus W9, Sandvik 945, Goldfish 28, Skorgenes 445, Windy 35 Khamsin, Paragon 25</t>
  </si>
  <si>
    <t>Cormate 35 Chase, Goldfish 30 Sport</t>
  </si>
  <si>
    <t>Goldfish 38 Supersport, Saxdor 320 GTC, Goldfish 32 SC, Nordkapp 905 Gran Coupe</t>
  </si>
  <si>
    <t>Grand banks 52, Nordkapp 905</t>
  </si>
  <si>
    <t>Goldfish 28 Bullet</t>
  </si>
  <si>
    <t>Goldfish 28 Tender,</t>
  </si>
  <si>
    <t>Nimbus 300R</t>
  </si>
  <si>
    <t>Fairline Squadron 58</t>
  </si>
  <si>
    <t>Salgsbudsjett Henrik 2025</t>
  </si>
  <si>
    <t>Askeladden C83</t>
  </si>
  <si>
    <t>Dufour 385 GL</t>
  </si>
  <si>
    <t>Dufour 385 GL, Swan 48 Galatea, Colin Archer 40, Axopar 25 Cross Bow, Nimbus 230R, Sweden Yachts 38,</t>
  </si>
  <si>
    <t>Fjord Terne 24, Princess 415,  Bavaria S36HT, Nimbus 230R</t>
  </si>
  <si>
    <t>Nimbus 230R, Nimbus 230R, Swan 48, Hydrolift S24 Diablo</t>
  </si>
  <si>
    <t>Cranchi 28, Hydrolift X26, Hydrolift Diablo, Hallberg Rassy 43, Fjord 40 Open,</t>
  </si>
  <si>
    <t>Axopar 25, Sweden Yachts 38, Axopar 28, Axopar 28, Seaside 23, Scand Baltic, Nimbus 230R, Princess 415</t>
  </si>
  <si>
    <t>Brig Eagle 8, Axopar 28, Jeanneau, Hanse 548, Kragerø Custom,</t>
  </si>
  <si>
    <t>Askeladden C83, Sandvik 945, Goldfish 28, Skorgenes 445, Cranchi 28 CSL, Windy 35 Khamsin, Paragon 25, Fjord Terne 24, Bavaria 37 Cruiser</t>
  </si>
  <si>
    <t>Beneteau Oceanis 37, Bavaria 37 Cruiser</t>
  </si>
  <si>
    <t>Nimbus 230R,</t>
  </si>
  <si>
    <t xml:space="preserve">Seaside 23, Dufour 44 Performance, Nimbus 230R, Paragon 25 Cabin, Nordkapp Gran Coupe 905, </t>
  </si>
  <si>
    <t>Hydrolift X-26S, Jeanneau so36i, Nordkapp 905, Dufour 44</t>
  </si>
  <si>
    <t>Nimbus 230R, Skorgenes 350, Storebro 430 Biscay, Italia Yachts 9,98, Goldfish 28 Tender</t>
  </si>
  <si>
    <t>Goldfish 28 Tender, Paragon 25, Beneteau Oceanis 37</t>
  </si>
  <si>
    <t>Delphia 40.3,</t>
  </si>
  <si>
    <t>Colin Archer 40, Fairline Squadron 58, Skorgenes 350 FB, Cranchi 47 Mediterranee</t>
  </si>
  <si>
    <t>Cranchi 47, Azimut 40S, Bavaria S30, Bavaria 36AC</t>
  </si>
  <si>
    <t>Nordic Oceancraft 50</t>
  </si>
  <si>
    <t>Salgsbudsjett Daniel 2025</t>
  </si>
  <si>
    <t>Goldfish 28 tender, Windy 28 Ghibli</t>
  </si>
  <si>
    <t>Nimbus W9, Ibiza 811</t>
  </si>
  <si>
    <t>Goldfish 28 Tender, Cormate 23 SU, Windy 28 Ghibli</t>
  </si>
  <si>
    <t>Capelli 900, Grandezza 31, Hydrolift C27</t>
  </si>
  <si>
    <t>Windy 28 Ghibli</t>
  </si>
  <si>
    <t>Fairline Targa 37, Elan 35</t>
  </si>
  <si>
    <t>Grandezza 31 OC, Capelli 900wa, Fairline 37</t>
  </si>
  <si>
    <t xml:space="preserve">Goldfish 29 RIB Tender, </t>
  </si>
  <si>
    <t>Nimbus W9 T-Top, Elan 35</t>
  </si>
  <si>
    <t>Ibiza 811, Bavaria 35 Sport, Hydrolift X-32S-R, Nimbus W9, Goldfish 29 RIB Tender</t>
  </si>
  <si>
    <t>Ibiza 811 Touring</t>
  </si>
  <si>
    <t>Nord West 370 Coupe</t>
  </si>
  <si>
    <t>Nord West 370 Coupe, Ibiza 811</t>
  </si>
  <si>
    <t>Axopar 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</si>
</sst>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b/>
      <sz val="20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  <font>
      <sz val="14"/>
      <color theme="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75B5"/>
        <bgColor rgb="FF2E75B5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0" fontId="3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0" fontId="4" fillId="0" borderId="0" xfId="0" applyNumberFormat="1" applyFont="1"/>
    <xf numFmtId="0" fontId="3" fillId="0" borderId="0" xfId="0" applyFont="1" applyAlignment="1">
      <alignment horizontal="center"/>
    </xf>
    <xf numFmtId="3" fontId="2" fillId="0" borderId="0" xfId="0" applyNumberFormat="1" applyFont="1"/>
    <xf numFmtId="0" fontId="5" fillId="0" borderId="0" xfId="0" applyFont="1"/>
    <xf numFmtId="0" fontId="6" fillId="0" borderId="0" xfId="0" applyFont="1"/>
    <xf numFmtId="10" fontId="2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1000"/>
  <sheetViews>
    <sheetView tabSelected="1" topLeftCell="A41" workbookViewId="0">
      <selection activeCell="J66" sqref="J66"/>
    </sheetView>
  </sheetViews>
  <sheetFormatPr defaultColWidth="14.42578125" defaultRowHeight="15" customHeight="1"/>
  <cols>
    <col min="1" max="1" width="45" customWidth="1"/>
    <col min="2" max="2" width="12.28515625" customWidth="1"/>
    <col min="3" max="3" width="15.42578125" customWidth="1"/>
    <col min="4" max="4" width="20.42578125" customWidth="1"/>
    <col min="5" max="5" width="14.85546875" customWidth="1"/>
    <col min="6" max="6" width="14.28515625" customWidth="1"/>
    <col min="7" max="7" width="14.140625" customWidth="1"/>
    <col min="8" max="8" width="15" customWidth="1"/>
    <col min="9" max="10" width="14.85546875" customWidth="1"/>
    <col min="11" max="11" width="16.140625" customWidth="1"/>
    <col min="12" max="13" width="11.42578125" customWidth="1"/>
    <col min="14" max="14" width="79.85546875" bestFit="1" customWidth="1"/>
    <col min="15" max="15" width="23.7109375" bestFit="1" customWidth="1"/>
    <col min="16" max="34" width="11.42578125" customWidth="1"/>
  </cols>
  <sheetData>
    <row r="1" spans="1:34" ht="24.75" customHeight="1">
      <c r="A1" s="1" t="s">
        <v>0</v>
      </c>
      <c r="B1" s="1"/>
      <c r="C1" s="2"/>
      <c r="D1" s="2"/>
      <c r="E1" s="2"/>
      <c r="F1" s="3"/>
      <c r="G1" s="2"/>
      <c r="H1" s="2"/>
      <c r="I1" s="2"/>
      <c r="J1" s="3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/>
      <c r="L2" s="4"/>
      <c r="M2" s="4"/>
      <c r="N2" s="4" t="s">
        <v>7</v>
      </c>
      <c r="O2" s="4" t="s">
        <v>8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 spans="1:34">
      <c r="A3" s="5" t="s">
        <v>11</v>
      </c>
      <c r="B3" s="6">
        <f>B23+B40+B57</f>
        <v>1</v>
      </c>
      <c r="C3" s="6">
        <f>C23+C40+C57</f>
        <v>1</v>
      </c>
      <c r="D3" s="7"/>
      <c r="E3" s="6">
        <f>E23+E40+E57</f>
        <v>60000</v>
      </c>
      <c r="F3" s="8">
        <f t="shared" ref="F3:F15" si="0">H3/C3</f>
        <v>0</v>
      </c>
      <c r="G3" s="5">
        <f>G23+G40+G57+G74</f>
        <v>0</v>
      </c>
      <c r="H3" s="6">
        <f>H23+H40+H57+H74</f>
        <v>0</v>
      </c>
      <c r="I3" s="5">
        <f>I23+I40+I57</f>
        <v>0</v>
      </c>
      <c r="J3" s="8">
        <f t="shared" ref="J3:J15" si="1">I3/E3</f>
        <v>0</v>
      </c>
    </row>
    <row r="4" spans="1:34">
      <c r="A4" s="5" t="s">
        <v>12</v>
      </c>
      <c r="B4" s="6">
        <f t="shared" ref="B4:C14" si="2">B24+B41+B58</f>
        <v>2</v>
      </c>
      <c r="C4" s="6">
        <f t="shared" si="2"/>
        <v>1</v>
      </c>
      <c r="D4" s="7"/>
      <c r="E4" s="6">
        <f t="shared" ref="E4:E14" si="3">E24+E41+E58</f>
        <v>120000</v>
      </c>
      <c r="F4" s="8">
        <f t="shared" si="0"/>
        <v>4</v>
      </c>
      <c r="G4" s="5">
        <f t="shared" ref="G4:I14" si="4">G24+G41+G58+G75</f>
        <v>2</v>
      </c>
      <c r="H4" s="6">
        <f t="shared" si="4"/>
        <v>4</v>
      </c>
      <c r="I4" s="5">
        <f t="shared" ref="H4:I14" si="5">I24+I41+I58</f>
        <v>252000</v>
      </c>
      <c r="J4" s="8">
        <f t="shared" si="1"/>
        <v>2.1</v>
      </c>
    </row>
    <row r="5" spans="1:34">
      <c r="A5" s="5" t="s">
        <v>13</v>
      </c>
      <c r="B5" s="6">
        <f t="shared" si="2"/>
        <v>4</v>
      </c>
      <c r="C5" s="6">
        <f t="shared" si="2"/>
        <v>15</v>
      </c>
      <c r="D5" s="7"/>
      <c r="E5" s="6">
        <f t="shared" si="3"/>
        <v>237600</v>
      </c>
      <c r="F5" s="8">
        <f t="shared" si="0"/>
        <v>1.0666666666666667</v>
      </c>
      <c r="G5" s="5">
        <f t="shared" si="4"/>
        <v>3</v>
      </c>
      <c r="H5" s="6">
        <f t="shared" si="4"/>
        <v>16</v>
      </c>
      <c r="I5" s="5">
        <f t="shared" si="5"/>
        <v>148032</v>
      </c>
      <c r="J5" s="8">
        <f t="shared" si="1"/>
        <v>0.62303030303030305</v>
      </c>
    </row>
    <row r="6" spans="1:34">
      <c r="A6" s="5" t="s">
        <v>14</v>
      </c>
      <c r="B6" s="6">
        <f t="shared" si="2"/>
        <v>9</v>
      </c>
      <c r="C6" s="6">
        <f t="shared" si="2"/>
        <v>13</v>
      </c>
      <c r="D6" s="7"/>
      <c r="E6" s="6">
        <f t="shared" si="3"/>
        <v>525200</v>
      </c>
      <c r="F6" s="8">
        <f t="shared" si="0"/>
        <v>0.84615384615384615</v>
      </c>
      <c r="G6" s="5">
        <f t="shared" si="4"/>
        <v>3</v>
      </c>
      <c r="H6" s="6">
        <f t="shared" si="4"/>
        <v>11</v>
      </c>
      <c r="I6" s="5">
        <f t="shared" si="5"/>
        <v>179600</v>
      </c>
      <c r="J6" s="8">
        <f t="shared" si="1"/>
        <v>0.34196496572734197</v>
      </c>
    </row>
    <row r="7" spans="1:34">
      <c r="A7" s="5" t="s">
        <v>15</v>
      </c>
      <c r="B7" s="6">
        <f t="shared" si="2"/>
        <v>15</v>
      </c>
      <c r="C7" s="6">
        <f t="shared" si="2"/>
        <v>13</v>
      </c>
      <c r="D7" s="7"/>
      <c r="E7" s="6">
        <f t="shared" si="3"/>
        <v>875200</v>
      </c>
      <c r="F7" s="8">
        <f t="shared" si="0"/>
        <v>0.84615384615384615</v>
      </c>
      <c r="G7" s="5">
        <f t="shared" si="4"/>
        <v>11</v>
      </c>
      <c r="H7" s="6">
        <f t="shared" si="4"/>
        <v>11</v>
      </c>
      <c r="I7" s="5">
        <f t="shared" si="5"/>
        <v>862792</v>
      </c>
      <c r="J7" s="8">
        <f t="shared" si="1"/>
        <v>0.9858226691042048</v>
      </c>
    </row>
    <row r="8" spans="1:34">
      <c r="A8" s="5" t="s">
        <v>16</v>
      </c>
      <c r="B8" s="6">
        <f t="shared" si="2"/>
        <v>14</v>
      </c>
      <c r="C8" s="6">
        <f t="shared" si="2"/>
        <v>14</v>
      </c>
      <c r="D8" s="7"/>
      <c r="E8" s="6">
        <f t="shared" si="3"/>
        <v>817200</v>
      </c>
      <c r="F8" s="8">
        <f t="shared" si="0"/>
        <v>1</v>
      </c>
      <c r="G8" s="5">
        <f t="shared" si="4"/>
        <v>15</v>
      </c>
      <c r="H8" s="6">
        <f t="shared" si="4"/>
        <v>14</v>
      </c>
      <c r="I8" s="5">
        <f>I28+I45+I62+I79</f>
        <v>833920</v>
      </c>
      <c r="J8" s="8">
        <f t="shared" si="1"/>
        <v>1.0204601076847772</v>
      </c>
    </row>
    <row r="9" spans="1:34">
      <c r="A9" s="5" t="s">
        <v>17</v>
      </c>
      <c r="B9" s="6">
        <f t="shared" si="2"/>
        <v>12</v>
      </c>
      <c r="C9" s="6">
        <f t="shared" si="2"/>
        <v>13</v>
      </c>
      <c r="D9" s="7"/>
      <c r="E9" s="6">
        <f t="shared" si="3"/>
        <v>699600</v>
      </c>
      <c r="F9" s="8">
        <f t="shared" si="0"/>
        <v>0.30769230769230771</v>
      </c>
      <c r="G9" s="5">
        <f t="shared" si="4"/>
        <v>12</v>
      </c>
      <c r="H9" s="6">
        <f t="shared" si="4"/>
        <v>4</v>
      </c>
      <c r="I9" s="5">
        <f>I29+I46+I63+I80</f>
        <v>709360</v>
      </c>
      <c r="J9" s="8">
        <f t="shared" si="1"/>
        <v>1.0139508290451686</v>
      </c>
    </row>
    <row r="10" spans="1:34">
      <c r="A10" s="5" t="s">
        <v>18</v>
      </c>
      <c r="B10" s="6">
        <f t="shared" si="2"/>
        <v>14</v>
      </c>
      <c r="C10" s="6">
        <f t="shared" si="2"/>
        <v>15</v>
      </c>
      <c r="D10" s="7"/>
      <c r="E10" s="6">
        <f t="shared" si="3"/>
        <v>814400</v>
      </c>
      <c r="F10" s="8">
        <f t="shared" si="0"/>
        <v>0.8666666666666667</v>
      </c>
      <c r="G10" s="5">
        <f t="shared" si="4"/>
        <v>7</v>
      </c>
      <c r="H10" s="6">
        <f t="shared" si="4"/>
        <v>13</v>
      </c>
      <c r="I10" s="5">
        <f>I30+I47+I64+I81</f>
        <v>417200</v>
      </c>
      <c r="J10" s="8">
        <f t="shared" si="1"/>
        <v>0.51227897838899805</v>
      </c>
    </row>
    <row r="11" spans="1:34">
      <c r="A11" s="5" t="s">
        <v>19</v>
      </c>
      <c r="B11" s="6">
        <f t="shared" si="2"/>
        <v>14</v>
      </c>
      <c r="C11" s="6">
        <f t="shared" si="2"/>
        <v>13</v>
      </c>
      <c r="D11" s="7"/>
      <c r="E11" s="6">
        <f t="shared" si="3"/>
        <v>814400</v>
      </c>
      <c r="F11" s="8">
        <f t="shared" si="0"/>
        <v>0.69230769230769229</v>
      </c>
      <c r="G11" s="5">
        <f>G31+G48+G65+G82</f>
        <v>9</v>
      </c>
      <c r="H11" s="6">
        <f t="shared" si="4"/>
        <v>9</v>
      </c>
      <c r="I11" s="5">
        <f t="shared" si="4"/>
        <v>619520</v>
      </c>
      <c r="J11" s="8">
        <f t="shared" si="1"/>
        <v>0.76070726915520626</v>
      </c>
    </row>
    <row r="12" spans="1:34">
      <c r="A12" s="5" t="s">
        <v>20</v>
      </c>
      <c r="B12" s="6">
        <f t="shared" si="2"/>
        <v>14</v>
      </c>
      <c r="C12" s="6">
        <f t="shared" si="2"/>
        <v>9</v>
      </c>
      <c r="D12" s="7"/>
      <c r="E12" s="6">
        <f t="shared" si="3"/>
        <v>814800</v>
      </c>
      <c r="F12" s="8">
        <f t="shared" si="0"/>
        <v>0.44444444444444442</v>
      </c>
      <c r="G12" s="5">
        <f>G32+G49+G66+G83</f>
        <v>6</v>
      </c>
      <c r="H12" s="6">
        <f t="shared" si="4"/>
        <v>4</v>
      </c>
      <c r="I12" s="5">
        <f t="shared" si="4"/>
        <v>256693</v>
      </c>
      <c r="J12" s="8">
        <f t="shared" si="1"/>
        <v>0.31503804614629355</v>
      </c>
    </row>
    <row r="13" spans="1:34">
      <c r="A13" s="5" t="s">
        <v>21</v>
      </c>
      <c r="B13" s="6">
        <f t="shared" si="2"/>
        <v>11</v>
      </c>
      <c r="C13" s="6">
        <f t="shared" si="2"/>
        <v>7</v>
      </c>
      <c r="D13" s="7"/>
      <c r="E13" s="6">
        <f t="shared" si="3"/>
        <v>638800</v>
      </c>
      <c r="F13" s="8">
        <f t="shared" si="0"/>
        <v>0.5714285714285714</v>
      </c>
      <c r="G13" s="5">
        <f t="shared" si="4"/>
        <v>4</v>
      </c>
      <c r="H13" s="6">
        <f t="shared" si="4"/>
        <v>4</v>
      </c>
      <c r="I13" s="5">
        <f t="shared" si="4"/>
        <v>340800</v>
      </c>
      <c r="J13" s="8">
        <f t="shared" si="1"/>
        <v>0.53350031308703816</v>
      </c>
    </row>
    <row r="14" spans="1:34">
      <c r="A14" s="5" t="s">
        <v>22</v>
      </c>
      <c r="B14" s="6">
        <f t="shared" si="2"/>
        <v>7</v>
      </c>
      <c r="C14" s="6">
        <f t="shared" si="2"/>
        <v>5</v>
      </c>
      <c r="D14" s="7"/>
      <c r="E14" s="6">
        <f t="shared" si="3"/>
        <v>407200</v>
      </c>
      <c r="F14" s="8">
        <f t="shared" si="0"/>
        <v>0.2</v>
      </c>
      <c r="G14" s="5">
        <f t="shared" si="4"/>
        <v>3</v>
      </c>
      <c r="H14" s="6">
        <f t="shared" si="4"/>
        <v>1</v>
      </c>
      <c r="I14" s="5">
        <f t="shared" si="4"/>
        <v>237600</v>
      </c>
      <c r="J14" s="8">
        <f t="shared" si="1"/>
        <v>0.58349705304518662</v>
      </c>
    </row>
    <row r="15" spans="1:34" ht="18.95">
      <c r="A15" s="9" t="s">
        <v>23</v>
      </c>
      <c r="B15" s="10">
        <f t="shared" ref="B15:C15" si="6">SUM(B3:B14)</f>
        <v>117</v>
      </c>
      <c r="C15" s="10">
        <f>SUM(C3:C14)</f>
        <v>119</v>
      </c>
      <c r="D15" s="11"/>
      <c r="E15" s="10">
        <f>SUM(E3:E14)</f>
        <v>6824400</v>
      </c>
      <c r="F15" s="12">
        <f t="shared" si="0"/>
        <v>0.76470588235294112</v>
      </c>
      <c r="G15" s="9">
        <f>SUM(G3:G14)</f>
        <v>75</v>
      </c>
      <c r="H15" s="10">
        <f>SUM(H3:H14)</f>
        <v>91</v>
      </c>
      <c r="I15" s="9">
        <f>SUM(I3:I14)</f>
        <v>4857517</v>
      </c>
      <c r="J15" s="12">
        <f t="shared" si="1"/>
        <v>0.71178667721704469</v>
      </c>
      <c r="K15" s="9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>
      <c r="F16" s="13"/>
      <c r="I16" s="6"/>
      <c r="J16" s="4"/>
    </row>
    <row r="17" spans="1:34">
      <c r="F17" s="4"/>
      <c r="J17" s="4"/>
    </row>
    <row r="18" spans="1:34" ht="26.25" customHeight="1">
      <c r="F18" s="4"/>
      <c r="I18" s="4"/>
      <c r="J18" s="4"/>
      <c r="K18" s="4"/>
      <c r="L18" s="1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spans="1:34">
      <c r="A19" s="15"/>
      <c r="B19" s="15"/>
      <c r="C19" s="15"/>
      <c r="D19" s="15"/>
      <c r="E19" s="15"/>
      <c r="F19" s="16"/>
      <c r="G19" s="15"/>
      <c r="H19" s="15"/>
      <c r="I19" s="15"/>
      <c r="J19" s="16"/>
      <c r="L19" s="14"/>
    </row>
    <row r="20" spans="1:34">
      <c r="F20" s="4"/>
      <c r="J20" s="4"/>
    </row>
    <row r="21" spans="1:34" ht="15.75" customHeight="1">
      <c r="A21" s="1" t="s">
        <v>24</v>
      </c>
      <c r="B21" s="1"/>
      <c r="C21" s="2"/>
      <c r="D21" s="2"/>
      <c r="E21" s="2"/>
      <c r="F21" s="3"/>
      <c r="G21" s="2"/>
      <c r="H21" s="2"/>
      <c r="I21" s="2"/>
      <c r="J21" s="3"/>
    </row>
    <row r="22" spans="1:34" ht="15.75" customHeight="1">
      <c r="A22" s="4" t="s">
        <v>1</v>
      </c>
      <c r="B22" s="4" t="s">
        <v>2</v>
      </c>
      <c r="C22" s="4" t="s">
        <v>3</v>
      </c>
      <c r="D22" s="4" t="s">
        <v>4</v>
      </c>
      <c r="E22" s="4" t="s">
        <v>5</v>
      </c>
      <c r="F22" s="4" t="s">
        <v>6</v>
      </c>
      <c r="G22" s="4" t="s">
        <v>7</v>
      </c>
      <c r="H22" s="4" t="s">
        <v>8</v>
      </c>
      <c r="I22" s="4" t="s">
        <v>9</v>
      </c>
      <c r="J22" s="4" t="s">
        <v>10</v>
      </c>
      <c r="L22" s="14"/>
    </row>
    <row r="23" spans="1:34" ht="15.75" customHeight="1">
      <c r="A23" s="5" t="s">
        <v>11</v>
      </c>
      <c r="B23" s="5">
        <v>0</v>
      </c>
      <c r="C23" s="6"/>
      <c r="D23" s="6">
        <v>57600</v>
      </c>
      <c r="E23" s="7">
        <f t="shared" ref="E23:E34" si="7">B23*D23</f>
        <v>0</v>
      </c>
      <c r="F23" s="8" t="e">
        <f t="shared" ref="F23:F35" si="8">H23/C23</f>
        <v>#DIV/0!</v>
      </c>
      <c r="I23" s="6"/>
      <c r="J23" s="8" t="e">
        <f t="shared" ref="J23:J35" si="9">I23/E23</f>
        <v>#DIV/0!</v>
      </c>
      <c r="L23" s="17"/>
      <c r="N23" s="20"/>
      <c r="O23" s="20"/>
    </row>
    <row r="24" spans="1:34" ht="15.75" customHeight="1">
      <c r="A24" s="5" t="s">
        <v>12</v>
      </c>
      <c r="B24" s="5">
        <v>0</v>
      </c>
      <c r="C24" s="6"/>
      <c r="D24" s="6">
        <v>57600</v>
      </c>
      <c r="E24" s="7">
        <f t="shared" si="7"/>
        <v>0</v>
      </c>
      <c r="F24" s="8" t="e">
        <f t="shared" si="8"/>
        <v>#DIV/0!</v>
      </c>
      <c r="H24">
        <v>1</v>
      </c>
      <c r="I24" s="6"/>
      <c r="J24" s="8" t="e">
        <f t="shared" si="9"/>
        <v>#DIV/0!</v>
      </c>
      <c r="N24" s="20"/>
      <c r="O24" t="s">
        <v>25</v>
      </c>
    </row>
    <row r="25" spans="1:34" ht="15.75" customHeight="1">
      <c r="A25" s="5" t="s">
        <v>13</v>
      </c>
      <c r="B25" s="5">
        <v>1</v>
      </c>
      <c r="C25" s="6"/>
      <c r="D25" s="6">
        <v>57600</v>
      </c>
      <c r="E25" s="7">
        <f t="shared" si="7"/>
        <v>57600</v>
      </c>
      <c r="F25" s="8" t="e">
        <f t="shared" si="8"/>
        <v>#DIV/0!</v>
      </c>
      <c r="G25" s="6"/>
      <c r="I25" s="6"/>
      <c r="J25" s="8">
        <f t="shared" si="9"/>
        <v>0</v>
      </c>
      <c r="N25" s="5"/>
      <c r="O25" s="20"/>
    </row>
    <row r="26" spans="1:34" ht="15.75" customHeight="1">
      <c r="A26" s="5" t="s">
        <v>14</v>
      </c>
      <c r="B26" s="5">
        <v>2</v>
      </c>
      <c r="C26" s="6"/>
      <c r="D26" s="6">
        <v>57600</v>
      </c>
      <c r="E26" s="7">
        <f t="shared" si="7"/>
        <v>115200</v>
      </c>
      <c r="F26" s="8" t="e">
        <f t="shared" si="8"/>
        <v>#DIV/0!</v>
      </c>
      <c r="G26" s="6"/>
      <c r="H26">
        <v>1</v>
      </c>
      <c r="I26" s="6"/>
      <c r="J26" s="8">
        <f t="shared" si="9"/>
        <v>0</v>
      </c>
      <c r="N26" s="5"/>
      <c r="O26" t="s">
        <v>26</v>
      </c>
    </row>
    <row r="27" spans="1:34" ht="15.75" customHeight="1">
      <c r="A27" s="5" t="s">
        <v>15</v>
      </c>
      <c r="B27" s="5">
        <v>2</v>
      </c>
      <c r="C27" s="6"/>
      <c r="D27" s="6">
        <v>57600</v>
      </c>
      <c r="E27" s="7">
        <f t="shared" si="7"/>
        <v>115200</v>
      </c>
      <c r="F27" s="8" t="e">
        <f t="shared" si="8"/>
        <v>#DIV/0!</v>
      </c>
      <c r="G27" s="5">
        <v>3</v>
      </c>
      <c r="H27">
        <v>1</v>
      </c>
      <c r="I27" s="6">
        <v>300000</v>
      </c>
      <c r="J27" s="8">
        <f t="shared" si="9"/>
        <v>2.6041666666666665</v>
      </c>
      <c r="N27" s="5" t="s">
        <v>27</v>
      </c>
      <c r="O27" t="s">
        <v>28</v>
      </c>
    </row>
    <row r="28" spans="1:34" ht="15.75" customHeight="1">
      <c r="A28" s="5" t="s">
        <v>16</v>
      </c>
      <c r="B28" s="5">
        <v>2</v>
      </c>
      <c r="C28" s="6"/>
      <c r="D28" s="6">
        <v>57600</v>
      </c>
      <c r="E28" s="7">
        <f t="shared" si="7"/>
        <v>115200</v>
      </c>
      <c r="F28" s="8" t="e">
        <f t="shared" si="8"/>
        <v>#DIV/0!</v>
      </c>
      <c r="G28" s="5">
        <v>0.5</v>
      </c>
      <c r="H28">
        <v>1</v>
      </c>
      <c r="I28" s="6">
        <v>84000</v>
      </c>
      <c r="J28" s="8">
        <f t="shared" si="9"/>
        <v>0.72916666666666663</v>
      </c>
      <c r="N28" s="5" t="s">
        <v>29</v>
      </c>
      <c r="O28" t="s">
        <v>30</v>
      </c>
    </row>
    <row r="29" spans="1:34" ht="15.75" customHeight="1">
      <c r="A29" s="5" t="s">
        <v>17</v>
      </c>
      <c r="B29" s="5">
        <v>1</v>
      </c>
      <c r="C29" s="6"/>
      <c r="D29" s="6">
        <v>57600</v>
      </c>
      <c r="E29" s="7">
        <f t="shared" si="7"/>
        <v>57600</v>
      </c>
      <c r="F29" s="8" t="e">
        <f t="shared" si="8"/>
        <v>#DIV/0!</v>
      </c>
      <c r="G29" s="5">
        <v>1</v>
      </c>
      <c r="I29" s="6">
        <v>100800</v>
      </c>
      <c r="J29" s="8">
        <f t="shared" si="9"/>
        <v>1.75</v>
      </c>
      <c r="N29" s="5" t="s">
        <v>31</v>
      </c>
    </row>
    <row r="30" spans="1:34" ht="15.75" customHeight="1">
      <c r="A30" s="5" t="s">
        <v>18</v>
      </c>
      <c r="B30" s="5">
        <v>4</v>
      </c>
      <c r="C30" s="6"/>
      <c r="D30" s="6">
        <v>57600</v>
      </c>
      <c r="E30" s="7">
        <f t="shared" si="7"/>
        <v>230400</v>
      </c>
      <c r="F30" s="8" t="e">
        <f t="shared" si="8"/>
        <v>#DIV/0!</v>
      </c>
      <c r="G30" s="5">
        <v>1</v>
      </c>
      <c r="H30">
        <v>3</v>
      </c>
      <c r="I30" s="6">
        <v>50000</v>
      </c>
      <c r="J30" s="8">
        <f t="shared" si="9"/>
        <v>0.2170138888888889</v>
      </c>
      <c r="N30" s="5" t="s">
        <v>32</v>
      </c>
      <c r="O30" t="s">
        <v>33</v>
      </c>
    </row>
    <row r="31" spans="1:34" ht="15.75" customHeight="1">
      <c r="A31" s="5" t="s">
        <v>19</v>
      </c>
      <c r="B31" s="5">
        <v>4</v>
      </c>
      <c r="C31" s="6"/>
      <c r="D31" s="6">
        <v>57600</v>
      </c>
      <c r="E31" s="7">
        <f t="shared" si="7"/>
        <v>230400</v>
      </c>
      <c r="F31" s="8" t="e">
        <f t="shared" si="8"/>
        <v>#DIV/0!</v>
      </c>
      <c r="G31" s="5">
        <v>2</v>
      </c>
      <c r="I31" s="6">
        <v>72000</v>
      </c>
      <c r="J31" s="8">
        <f t="shared" si="9"/>
        <v>0.3125</v>
      </c>
      <c r="N31" s="5" t="s">
        <v>34</v>
      </c>
    </row>
    <row r="32" spans="1:34" ht="15.75" customHeight="1">
      <c r="A32" s="5" t="s">
        <v>20</v>
      </c>
      <c r="B32" s="5">
        <v>3</v>
      </c>
      <c r="C32" s="6"/>
      <c r="D32" s="6">
        <v>57600</v>
      </c>
      <c r="E32" s="7">
        <f t="shared" si="7"/>
        <v>172800</v>
      </c>
      <c r="F32" s="8" t="e">
        <f t="shared" si="8"/>
        <v>#DIV/0!</v>
      </c>
      <c r="G32" s="5">
        <v>1</v>
      </c>
      <c r="H32">
        <v>1</v>
      </c>
      <c r="I32" s="6">
        <v>36000</v>
      </c>
      <c r="J32" s="8">
        <f t="shared" si="9"/>
        <v>0.20833333333333334</v>
      </c>
      <c r="N32" s="5" t="s">
        <v>35</v>
      </c>
      <c r="O32" t="s">
        <v>35</v>
      </c>
    </row>
    <row r="33" spans="1:34" ht="15.75" customHeight="1">
      <c r="A33" s="5" t="s">
        <v>21</v>
      </c>
      <c r="B33" s="5">
        <v>3</v>
      </c>
      <c r="C33" s="6"/>
      <c r="D33" s="6">
        <v>57600</v>
      </c>
      <c r="E33" s="7">
        <f t="shared" si="7"/>
        <v>172800</v>
      </c>
      <c r="F33" s="8" t="e">
        <f t="shared" si="8"/>
        <v>#DIV/0!</v>
      </c>
      <c r="I33" s="6"/>
      <c r="J33" s="8">
        <f t="shared" si="9"/>
        <v>0</v>
      </c>
    </row>
    <row r="34" spans="1:34" ht="15.75" customHeight="1">
      <c r="A34" s="5" t="s">
        <v>22</v>
      </c>
      <c r="B34" s="5">
        <v>2</v>
      </c>
      <c r="C34" s="6"/>
      <c r="D34" s="6">
        <v>57600</v>
      </c>
      <c r="E34" s="7">
        <f t="shared" si="7"/>
        <v>115200</v>
      </c>
      <c r="F34" s="8" t="e">
        <f t="shared" si="8"/>
        <v>#DIV/0!</v>
      </c>
      <c r="I34" s="6"/>
      <c r="J34" s="8">
        <f t="shared" si="9"/>
        <v>0</v>
      </c>
      <c r="K34" s="15"/>
      <c r="L34" s="15"/>
      <c r="M34" s="15"/>
      <c r="N34" s="18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</row>
    <row r="35" spans="1:34" ht="15.75" customHeight="1">
      <c r="A35" s="9" t="s">
        <v>23</v>
      </c>
      <c r="B35" s="9">
        <f t="shared" ref="B35:C35" si="10">SUM(B23:B34)</f>
        <v>24</v>
      </c>
      <c r="C35" s="10">
        <f t="shared" si="10"/>
        <v>0</v>
      </c>
      <c r="D35" s="10"/>
      <c r="E35" s="11">
        <f>SUM(E23:E34)</f>
        <v>1382400</v>
      </c>
      <c r="F35" s="12" t="e">
        <f t="shared" si="8"/>
        <v>#DIV/0!</v>
      </c>
      <c r="G35" s="9">
        <f t="shared" ref="G35:I35" si="11">SUM(G23:G34)</f>
        <v>8.5</v>
      </c>
      <c r="H35" s="9">
        <f t="shared" si="11"/>
        <v>8</v>
      </c>
      <c r="I35" s="10">
        <f>SUM(I23:I34)</f>
        <v>642800</v>
      </c>
      <c r="J35" s="12">
        <f t="shared" si="9"/>
        <v>0.46498842592592593</v>
      </c>
      <c r="K35" s="19"/>
    </row>
    <row r="36" spans="1:34" ht="15.75" customHeight="1">
      <c r="E36" s="7"/>
      <c r="F36" s="13"/>
      <c r="I36" s="6"/>
      <c r="J36" s="4"/>
    </row>
    <row r="37" spans="1:34" ht="15.75" customHeight="1">
      <c r="F37" s="4"/>
      <c r="J37" s="4"/>
    </row>
    <row r="38" spans="1:34" ht="15.75" customHeight="1">
      <c r="A38" s="1" t="s">
        <v>36</v>
      </c>
      <c r="B38" s="1"/>
      <c r="C38" s="2"/>
      <c r="D38" s="2"/>
      <c r="E38" s="2"/>
      <c r="F38" s="3"/>
      <c r="G38" s="2"/>
      <c r="H38" s="2"/>
      <c r="I38" s="2"/>
      <c r="J38" s="3"/>
    </row>
    <row r="39" spans="1:34" ht="15.75" customHeight="1">
      <c r="A39" s="4" t="s">
        <v>1</v>
      </c>
      <c r="B39" s="4" t="s">
        <v>2</v>
      </c>
      <c r="C39" s="4" t="s">
        <v>3</v>
      </c>
      <c r="D39" s="4" t="s">
        <v>4</v>
      </c>
      <c r="E39" s="4" t="s">
        <v>5</v>
      </c>
      <c r="F39" s="4" t="s">
        <v>6</v>
      </c>
      <c r="G39" s="4" t="s">
        <v>7</v>
      </c>
      <c r="H39" s="4" t="s">
        <v>8</v>
      </c>
      <c r="I39" s="4" t="s">
        <v>9</v>
      </c>
      <c r="J39" s="4" t="s">
        <v>10</v>
      </c>
    </row>
    <row r="40" spans="1:34" ht="15.75" customHeight="1">
      <c r="A40" s="5" t="s">
        <v>11</v>
      </c>
      <c r="B40" s="5">
        <v>1</v>
      </c>
      <c r="C40" s="6">
        <v>1</v>
      </c>
      <c r="D40" s="6">
        <v>60000</v>
      </c>
      <c r="E40" s="7">
        <f t="shared" ref="E40:E51" si="12">B40*D40</f>
        <v>60000</v>
      </c>
      <c r="F40" s="8">
        <f t="shared" ref="F40:F52" si="13">H40/C40</f>
        <v>0</v>
      </c>
      <c r="G40" s="6"/>
      <c r="H40" s="6"/>
      <c r="I40" s="6"/>
      <c r="J40" s="8">
        <f t="shared" ref="J40:J52" si="14">I40/E40</f>
        <v>0</v>
      </c>
      <c r="N40" s="20"/>
    </row>
    <row r="41" spans="1:34" ht="15.75" customHeight="1">
      <c r="A41" s="5" t="s">
        <v>12</v>
      </c>
      <c r="B41" s="5">
        <v>2</v>
      </c>
      <c r="C41" s="6">
        <v>1</v>
      </c>
      <c r="D41" s="6">
        <v>60000</v>
      </c>
      <c r="E41" s="7">
        <f t="shared" si="12"/>
        <v>120000</v>
      </c>
      <c r="F41" s="8">
        <f t="shared" si="13"/>
        <v>2</v>
      </c>
      <c r="G41" s="6">
        <v>2</v>
      </c>
      <c r="H41" s="6">
        <v>2</v>
      </c>
      <c r="I41" s="6">
        <v>252000</v>
      </c>
      <c r="J41" s="8">
        <f t="shared" si="14"/>
        <v>2.1</v>
      </c>
      <c r="N41" s="5" t="s">
        <v>37</v>
      </c>
      <c r="O41" s="20" t="s">
        <v>38</v>
      </c>
    </row>
    <row r="42" spans="1:34" ht="15.75" customHeight="1">
      <c r="A42" s="5" t="s">
        <v>13</v>
      </c>
      <c r="B42" s="5">
        <v>3</v>
      </c>
      <c r="C42" s="6">
        <v>2</v>
      </c>
      <c r="D42" s="6">
        <v>60000</v>
      </c>
      <c r="E42" s="7">
        <f t="shared" si="12"/>
        <v>180000</v>
      </c>
      <c r="F42" s="8">
        <f t="shared" si="13"/>
        <v>5</v>
      </c>
      <c r="G42" s="6">
        <v>2</v>
      </c>
      <c r="H42" s="6">
        <v>10</v>
      </c>
      <c r="I42" s="6">
        <v>107520</v>
      </c>
      <c r="J42" s="8">
        <f t="shared" si="14"/>
        <v>0.59733333333333338</v>
      </c>
      <c r="N42" s="5" t="s">
        <v>39</v>
      </c>
      <c r="O42" s="20" t="s">
        <v>40</v>
      </c>
    </row>
    <row r="43" spans="1:34" ht="15.75" customHeight="1">
      <c r="A43" s="5" t="s">
        <v>14</v>
      </c>
      <c r="B43" s="5">
        <v>2</v>
      </c>
      <c r="C43" s="6">
        <v>3</v>
      </c>
      <c r="D43" s="6">
        <v>60000</v>
      </c>
      <c r="E43" s="7">
        <f t="shared" si="12"/>
        <v>120000</v>
      </c>
      <c r="F43" s="8">
        <f t="shared" si="13"/>
        <v>1.3333333333333333</v>
      </c>
      <c r="G43" s="6">
        <v>3</v>
      </c>
      <c r="H43" s="6">
        <v>4</v>
      </c>
      <c r="I43" s="6">
        <v>179600</v>
      </c>
      <c r="J43" s="8">
        <f t="shared" si="14"/>
        <v>1.4966666666666666</v>
      </c>
      <c r="N43" s="5" t="s">
        <v>41</v>
      </c>
      <c r="O43" s="20" t="s">
        <v>42</v>
      </c>
    </row>
    <row r="44" spans="1:34" ht="15.75" customHeight="1">
      <c r="A44" s="5" t="s">
        <v>15</v>
      </c>
      <c r="B44" s="5">
        <v>3</v>
      </c>
      <c r="C44" s="6">
        <v>3</v>
      </c>
      <c r="D44" s="6">
        <v>60000</v>
      </c>
      <c r="E44" s="7">
        <f t="shared" si="12"/>
        <v>180000</v>
      </c>
      <c r="F44" s="8">
        <f t="shared" si="13"/>
        <v>1</v>
      </c>
      <c r="G44">
        <v>4</v>
      </c>
      <c r="H44">
        <v>3</v>
      </c>
      <c r="I44" s="6">
        <v>279592</v>
      </c>
      <c r="J44" s="8">
        <f t="shared" si="14"/>
        <v>1.5532888888888889</v>
      </c>
      <c r="N44" t="s">
        <v>43</v>
      </c>
      <c r="O44" t="s">
        <v>44</v>
      </c>
    </row>
    <row r="45" spans="1:34" ht="15.75" customHeight="1">
      <c r="A45" s="5" t="s">
        <v>16</v>
      </c>
      <c r="B45" s="5">
        <v>3</v>
      </c>
      <c r="C45" s="6">
        <v>4</v>
      </c>
      <c r="D45" s="6">
        <v>60000</v>
      </c>
      <c r="E45" s="7">
        <f t="shared" si="12"/>
        <v>180000</v>
      </c>
      <c r="F45" s="8">
        <f t="shared" si="13"/>
        <v>1.25</v>
      </c>
      <c r="G45" s="6">
        <v>6.5</v>
      </c>
      <c r="H45">
        <v>5</v>
      </c>
      <c r="I45" s="6">
        <v>448600</v>
      </c>
      <c r="J45" s="8">
        <f t="shared" si="14"/>
        <v>2.4922222222222223</v>
      </c>
      <c r="N45" s="5" t="s">
        <v>45</v>
      </c>
      <c r="O45" t="s">
        <v>46</v>
      </c>
    </row>
    <row r="46" spans="1:34" ht="15.75" customHeight="1">
      <c r="A46" s="5" t="s">
        <v>17</v>
      </c>
      <c r="B46" s="5">
        <v>2</v>
      </c>
      <c r="C46" s="6">
        <v>5</v>
      </c>
      <c r="D46" s="6">
        <v>60000</v>
      </c>
      <c r="E46" s="7">
        <f t="shared" si="12"/>
        <v>120000</v>
      </c>
      <c r="F46" s="8">
        <f t="shared" si="13"/>
        <v>0</v>
      </c>
      <c r="G46" s="5">
        <v>3.5</v>
      </c>
      <c r="I46" s="6">
        <v>247800</v>
      </c>
      <c r="J46" s="8">
        <f t="shared" si="14"/>
        <v>2.0649999999999999</v>
      </c>
      <c r="N46" s="5" t="s">
        <v>47</v>
      </c>
    </row>
    <row r="47" spans="1:34" ht="15.75" customHeight="1">
      <c r="A47" s="5" t="s">
        <v>18</v>
      </c>
      <c r="B47" s="5">
        <v>2</v>
      </c>
      <c r="C47" s="6">
        <v>5</v>
      </c>
      <c r="D47" s="6">
        <v>60000</v>
      </c>
      <c r="E47" s="7">
        <f t="shared" si="12"/>
        <v>120000</v>
      </c>
      <c r="F47" s="8">
        <f t="shared" si="13"/>
        <v>0.8</v>
      </c>
      <c r="G47" s="6">
        <v>2</v>
      </c>
      <c r="H47">
        <v>4</v>
      </c>
      <c r="I47" s="6">
        <v>192000</v>
      </c>
      <c r="J47" s="8">
        <f t="shared" si="14"/>
        <v>1.6</v>
      </c>
      <c r="N47" s="5" t="s">
        <v>48</v>
      </c>
      <c r="O47" t="s">
        <v>49</v>
      </c>
    </row>
    <row r="48" spans="1:34" ht="15.75" customHeight="1">
      <c r="A48" s="5" t="s">
        <v>19</v>
      </c>
      <c r="B48" s="5">
        <v>2</v>
      </c>
      <c r="C48" s="6">
        <v>3</v>
      </c>
      <c r="D48" s="6">
        <v>60000</v>
      </c>
      <c r="E48" s="7">
        <f t="shared" si="12"/>
        <v>120000</v>
      </c>
      <c r="F48" s="8">
        <f t="shared" si="13"/>
        <v>0.33333333333333331</v>
      </c>
      <c r="G48" s="5">
        <v>1.5</v>
      </c>
      <c r="H48">
        <v>1</v>
      </c>
      <c r="I48" s="6">
        <v>245000</v>
      </c>
      <c r="J48" s="8">
        <f t="shared" si="14"/>
        <v>2.0416666666666665</v>
      </c>
      <c r="N48" s="5" t="s">
        <v>50</v>
      </c>
      <c r="O48" t="s">
        <v>51</v>
      </c>
    </row>
    <row r="49" spans="1:15" ht="15.75" customHeight="1">
      <c r="A49" s="5" t="s">
        <v>20</v>
      </c>
      <c r="B49" s="5">
        <v>2</v>
      </c>
      <c r="C49" s="6">
        <v>2</v>
      </c>
      <c r="D49" s="6">
        <v>60000</v>
      </c>
      <c r="E49" s="7">
        <f t="shared" si="12"/>
        <v>120000</v>
      </c>
      <c r="F49" s="8">
        <f t="shared" si="13"/>
        <v>0.5</v>
      </c>
      <c r="G49" s="6">
        <v>1</v>
      </c>
      <c r="H49">
        <v>1</v>
      </c>
      <c r="I49" s="6">
        <v>53093</v>
      </c>
      <c r="J49" s="8">
        <f t="shared" si="14"/>
        <v>0.44244166666666668</v>
      </c>
      <c r="N49" s="5" t="s">
        <v>52</v>
      </c>
      <c r="O49" t="s">
        <v>53</v>
      </c>
    </row>
    <row r="50" spans="1:15" ht="15.75" customHeight="1">
      <c r="A50" s="5" t="s">
        <v>21</v>
      </c>
      <c r="B50" s="5">
        <v>1</v>
      </c>
      <c r="C50" s="6">
        <v>3</v>
      </c>
      <c r="D50" s="6">
        <v>60000</v>
      </c>
      <c r="E50" s="7">
        <f t="shared" si="12"/>
        <v>60000</v>
      </c>
      <c r="F50" s="8">
        <f t="shared" si="13"/>
        <v>0</v>
      </c>
      <c r="G50" s="5">
        <v>0.5</v>
      </c>
      <c r="I50" s="6">
        <v>78000</v>
      </c>
      <c r="J50" s="8">
        <f t="shared" si="14"/>
        <v>1.3</v>
      </c>
      <c r="N50" s="5" t="s">
        <v>54</v>
      </c>
    </row>
    <row r="51" spans="1:15" ht="15.75" customHeight="1">
      <c r="A51" s="5" t="s">
        <v>22</v>
      </c>
      <c r="B51" s="5">
        <v>1</v>
      </c>
      <c r="C51" s="6">
        <v>3</v>
      </c>
      <c r="D51" s="6">
        <v>60000</v>
      </c>
      <c r="E51" s="7">
        <f t="shared" si="12"/>
        <v>60000</v>
      </c>
      <c r="F51" s="8">
        <f t="shared" si="13"/>
        <v>0</v>
      </c>
      <c r="I51" s="6"/>
      <c r="J51" s="8">
        <f t="shared" si="14"/>
        <v>0</v>
      </c>
    </row>
    <row r="52" spans="1:15" ht="15.75" customHeight="1">
      <c r="A52" s="9" t="s">
        <v>23</v>
      </c>
      <c r="B52" s="9">
        <f t="shared" ref="B52:C52" si="15">SUM(B40:B51)</f>
        <v>24</v>
      </c>
      <c r="C52" s="10">
        <f t="shared" si="15"/>
        <v>35</v>
      </c>
      <c r="D52" s="10"/>
      <c r="E52" s="11">
        <f>SUM(E40:E51)</f>
        <v>1440000</v>
      </c>
      <c r="F52" s="12">
        <f t="shared" si="13"/>
        <v>0.8571428571428571</v>
      </c>
      <c r="G52" s="9">
        <f t="shared" ref="G52:I52" si="16">SUM(G40:G51)</f>
        <v>26</v>
      </c>
      <c r="H52" s="9">
        <f t="shared" si="16"/>
        <v>30</v>
      </c>
      <c r="I52" s="10">
        <f t="shared" si="16"/>
        <v>2083205</v>
      </c>
      <c r="J52" s="12">
        <f t="shared" si="14"/>
        <v>1.446670138888889</v>
      </c>
      <c r="K52" s="19"/>
    </row>
    <row r="53" spans="1:15" ht="15.75" customHeight="1">
      <c r="F53" s="4"/>
      <c r="J53" s="4"/>
    </row>
    <row r="54" spans="1:15" ht="15.75" customHeight="1">
      <c r="F54" s="4"/>
      <c r="J54" s="4"/>
    </row>
    <row r="55" spans="1:15" ht="15.75" customHeight="1">
      <c r="A55" s="1" t="s">
        <v>55</v>
      </c>
      <c r="B55" s="1"/>
      <c r="C55" s="2"/>
      <c r="D55" s="2"/>
      <c r="E55" s="2"/>
      <c r="F55" s="3"/>
      <c r="G55" s="2"/>
      <c r="H55" s="2"/>
      <c r="I55" s="2"/>
      <c r="J55" s="3"/>
    </row>
    <row r="56" spans="1:15" ht="15.75" customHeight="1">
      <c r="A56" s="4" t="s">
        <v>1</v>
      </c>
      <c r="B56" s="4" t="s">
        <v>2</v>
      </c>
      <c r="C56" s="4" t="s">
        <v>3</v>
      </c>
      <c r="D56" s="4" t="s">
        <v>4</v>
      </c>
      <c r="E56" s="4" t="s">
        <v>5</v>
      </c>
      <c r="F56" s="4" t="s">
        <v>6</v>
      </c>
      <c r="G56" s="4" t="s">
        <v>7</v>
      </c>
      <c r="H56" s="4" t="s">
        <v>8</v>
      </c>
      <c r="I56" s="4" t="s">
        <v>9</v>
      </c>
      <c r="J56" s="4" t="s">
        <v>10</v>
      </c>
    </row>
    <row r="57" spans="1:15" ht="15.75" customHeight="1">
      <c r="A57" s="5" t="s">
        <v>11</v>
      </c>
      <c r="B57" s="5">
        <v>0</v>
      </c>
      <c r="C57" s="6">
        <v>0</v>
      </c>
      <c r="D57" s="6">
        <v>60000</v>
      </c>
      <c r="E57" s="7">
        <f t="shared" ref="E57:E68" si="17">B57*D57</f>
        <v>0</v>
      </c>
      <c r="F57" s="8" t="e">
        <f t="shared" ref="F57:F69" si="18">H57/C57</f>
        <v>#DIV/0!</v>
      </c>
      <c r="G57" s="6"/>
      <c r="H57" s="6"/>
      <c r="I57" s="6"/>
      <c r="J57" s="8" t="e">
        <f t="shared" ref="J57:J69" si="19">I57/E57</f>
        <v>#DIV/0!</v>
      </c>
    </row>
    <row r="58" spans="1:15" ht="15.75" customHeight="1">
      <c r="A58" s="5" t="s">
        <v>12</v>
      </c>
      <c r="B58" s="5">
        <v>0</v>
      </c>
      <c r="C58" s="6">
        <v>0</v>
      </c>
      <c r="D58" s="6">
        <v>60000</v>
      </c>
      <c r="E58" s="7">
        <f t="shared" si="17"/>
        <v>0</v>
      </c>
      <c r="F58" s="8" t="e">
        <f t="shared" si="18"/>
        <v>#DIV/0!</v>
      </c>
      <c r="G58" s="6"/>
      <c r="H58" s="6">
        <v>1</v>
      </c>
      <c r="I58" s="6"/>
      <c r="J58" s="8" t="e">
        <f t="shared" si="19"/>
        <v>#DIV/0!</v>
      </c>
      <c r="O58" t="s">
        <v>56</v>
      </c>
    </row>
    <row r="59" spans="1:15" ht="15.75" customHeight="1">
      <c r="A59" s="5" t="s">
        <v>13</v>
      </c>
      <c r="B59" s="5">
        <v>0</v>
      </c>
      <c r="C59" s="6">
        <v>13</v>
      </c>
      <c r="D59" s="6">
        <v>58000</v>
      </c>
      <c r="E59" s="7">
        <f t="shared" si="17"/>
        <v>0</v>
      </c>
      <c r="F59" s="8">
        <f t="shared" si="18"/>
        <v>0.46153846153846156</v>
      </c>
      <c r="G59" s="6">
        <v>1</v>
      </c>
      <c r="H59" s="6">
        <v>6</v>
      </c>
      <c r="I59" s="6">
        <v>40512</v>
      </c>
      <c r="J59" s="8" t="e">
        <f t="shared" si="19"/>
        <v>#DIV/0!</v>
      </c>
      <c r="N59" t="s">
        <v>57</v>
      </c>
      <c r="O59" t="s">
        <v>58</v>
      </c>
    </row>
    <row r="60" spans="1:15" ht="15.75" customHeight="1">
      <c r="A60" s="5" t="s">
        <v>14</v>
      </c>
      <c r="B60" s="5">
        <v>5</v>
      </c>
      <c r="C60" s="6">
        <v>10</v>
      </c>
      <c r="D60" s="6">
        <v>58000</v>
      </c>
      <c r="E60" s="7">
        <f t="shared" si="17"/>
        <v>290000</v>
      </c>
      <c r="F60" s="8">
        <f t="shared" si="18"/>
        <v>0.4</v>
      </c>
      <c r="G60" s="6"/>
      <c r="H60" s="6">
        <v>4</v>
      </c>
      <c r="I60" s="6"/>
      <c r="J60" s="8">
        <f t="shared" si="19"/>
        <v>0</v>
      </c>
      <c r="O60" t="s">
        <v>59</v>
      </c>
    </row>
    <row r="61" spans="1:15" ht="15.75" customHeight="1">
      <c r="A61" s="5" t="s">
        <v>15</v>
      </c>
      <c r="B61" s="5">
        <v>10</v>
      </c>
      <c r="C61" s="6">
        <v>10</v>
      </c>
      <c r="D61" s="6">
        <v>58000</v>
      </c>
      <c r="E61" s="7">
        <f t="shared" si="17"/>
        <v>580000</v>
      </c>
      <c r="F61" s="8">
        <f t="shared" si="18"/>
        <v>0.5</v>
      </c>
      <c r="G61">
        <v>4</v>
      </c>
      <c r="H61">
        <v>5</v>
      </c>
      <c r="I61" s="6">
        <v>283200</v>
      </c>
      <c r="J61" s="8">
        <f t="shared" si="19"/>
        <v>0.4882758620689655</v>
      </c>
      <c r="N61" t="s">
        <v>60</v>
      </c>
      <c r="O61" t="s">
        <v>61</v>
      </c>
    </row>
    <row r="62" spans="1:15" ht="15.75" customHeight="1">
      <c r="A62" s="5" t="s">
        <v>16</v>
      </c>
      <c r="B62" s="5">
        <v>9</v>
      </c>
      <c r="C62" s="6">
        <v>10</v>
      </c>
      <c r="D62" s="6">
        <v>58000</v>
      </c>
      <c r="E62" s="7">
        <f t="shared" si="17"/>
        <v>522000</v>
      </c>
      <c r="F62" s="8">
        <f t="shared" si="18"/>
        <v>0.5</v>
      </c>
      <c r="G62" s="6">
        <v>6</v>
      </c>
      <c r="H62">
        <v>5</v>
      </c>
      <c r="I62" s="6">
        <v>245640</v>
      </c>
      <c r="J62" s="8">
        <f t="shared" si="19"/>
        <v>0.47057471264367817</v>
      </c>
      <c r="N62" t="s">
        <v>62</v>
      </c>
      <c r="O62" t="s">
        <v>63</v>
      </c>
    </row>
    <row r="63" spans="1:15" ht="15.75" customHeight="1">
      <c r="A63" s="5" t="s">
        <v>17</v>
      </c>
      <c r="B63" s="5">
        <v>9</v>
      </c>
      <c r="C63" s="6">
        <v>8</v>
      </c>
      <c r="D63" s="6">
        <v>58000</v>
      </c>
      <c r="E63" s="7">
        <f t="shared" si="17"/>
        <v>522000</v>
      </c>
      <c r="F63" s="8">
        <f t="shared" si="18"/>
        <v>0.25</v>
      </c>
      <c r="G63" s="5">
        <v>6.5</v>
      </c>
      <c r="H63">
        <v>2</v>
      </c>
      <c r="I63" s="6">
        <v>320440</v>
      </c>
      <c r="J63" s="8">
        <f t="shared" si="19"/>
        <v>0.61386973180076632</v>
      </c>
      <c r="N63" t="s">
        <v>64</v>
      </c>
      <c r="O63" t="s">
        <v>65</v>
      </c>
    </row>
    <row r="64" spans="1:15" ht="15.75" customHeight="1">
      <c r="A64" s="5" t="s">
        <v>18</v>
      </c>
      <c r="B64" s="5">
        <v>8</v>
      </c>
      <c r="C64" s="6">
        <v>10</v>
      </c>
      <c r="D64" s="6">
        <v>58000</v>
      </c>
      <c r="E64" s="7">
        <f t="shared" si="17"/>
        <v>464000</v>
      </c>
      <c r="F64" s="8">
        <f t="shared" si="18"/>
        <v>0.5</v>
      </c>
      <c r="G64" s="6">
        <v>1</v>
      </c>
      <c r="H64">
        <v>5</v>
      </c>
      <c r="I64" s="6">
        <v>36000</v>
      </c>
      <c r="J64" s="8">
        <f t="shared" si="19"/>
        <v>7.7586206896551727E-2</v>
      </c>
      <c r="N64" t="s">
        <v>66</v>
      </c>
      <c r="O64" t="s">
        <v>67</v>
      </c>
    </row>
    <row r="65" spans="1:15" ht="15.75" customHeight="1">
      <c r="A65" s="5" t="s">
        <v>19</v>
      </c>
      <c r="B65" s="5">
        <v>8</v>
      </c>
      <c r="C65" s="6">
        <v>10</v>
      </c>
      <c r="D65" s="6">
        <v>58000</v>
      </c>
      <c r="E65" s="7">
        <f t="shared" si="17"/>
        <v>464000</v>
      </c>
      <c r="F65" s="8">
        <f t="shared" si="18"/>
        <v>0.5</v>
      </c>
      <c r="G65" s="5">
        <v>3.5</v>
      </c>
      <c r="H65">
        <v>5</v>
      </c>
      <c r="I65" s="6">
        <v>173400</v>
      </c>
      <c r="J65" s="8">
        <f t="shared" si="19"/>
        <v>0.37370689655172412</v>
      </c>
      <c r="N65" t="s">
        <v>68</v>
      </c>
      <c r="O65" t="s">
        <v>69</v>
      </c>
    </row>
    <row r="66" spans="1:15" ht="15.75" customHeight="1">
      <c r="A66" s="5" t="s">
        <v>20</v>
      </c>
      <c r="B66" s="5">
        <v>9</v>
      </c>
      <c r="C66" s="6">
        <v>7</v>
      </c>
      <c r="D66" s="6">
        <v>58000</v>
      </c>
      <c r="E66" s="7">
        <f t="shared" si="17"/>
        <v>522000</v>
      </c>
      <c r="F66" s="8">
        <f>H66/C66</f>
        <v>0.14285714285714285</v>
      </c>
      <c r="G66" s="6">
        <v>3</v>
      </c>
      <c r="H66">
        <v>1</v>
      </c>
      <c r="I66" s="6">
        <v>122000</v>
      </c>
      <c r="J66" s="8">
        <f t="shared" si="19"/>
        <v>0.23371647509578544</v>
      </c>
      <c r="N66" t="s">
        <v>70</v>
      </c>
      <c r="O66" t="s">
        <v>71</v>
      </c>
    </row>
    <row r="67" spans="1:15" ht="15.75" customHeight="1">
      <c r="A67" s="5" t="s">
        <v>21</v>
      </c>
      <c r="B67" s="5">
        <v>7</v>
      </c>
      <c r="C67" s="6">
        <v>4</v>
      </c>
      <c r="D67" s="6">
        <v>58000</v>
      </c>
      <c r="E67" s="7">
        <f t="shared" si="17"/>
        <v>406000</v>
      </c>
      <c r="F67" s="8">
        <f t="shared" si="18"/>
        <v>1</v>
      </c>
      <c r="G67" s="5">
        <v>3.5</v>
      </c>
      <c r="H67">
        <v>4</v>
      </c>
      <c r="I67" s="6">
        <v>262800</v>
      </c>
      <c r="J67" s="8">
        <f t="shared" si="19"/>
        <v>0.64729064039408868</v>
      </c>
      <c r="N67" t="s">
        <v>72</v>
      </c>
      <c r="O67" t="s">
        <v>73</v>
      </c>
    </row>
    <row r="68" spans="1:15" ht="15.75" customHeight="1">
      <c r="A68" s="5" t="s">
        <v>22</v>
      </c>
      <c r="B68" s="5">
        <v>4</v>
      </c>
      <c r="C68" s="6">
        <v>2</v>
      </c>
      <c r="D68" s="6">
        <v>58000</v>
      </c>
      <c r="E68" s="7">
        <f t="shared" si="17"/>
        <v>232000</v>
      </c>
      <c r="F68" s="8">
        <f t="shared" si="18"/>
        <v>0</v>
      </c>
      <c r="G68">
        <v>1</v>
      </c>
      <c r="I68" s="6">
        <v>115200</v>
      </c>
      <c r="J68" s="8">
        <f t="shared" si="19"/>
        <v>0.49655172413793103</v>
      </c>
      <c r="N68" t="s">
        <v>74</v>
      </c>
    </row>
    <row r="69" spans="1:15" ht="15.75" customHeight="1">
      <c r="A69" s="9" t="s">
        <v>23</v>
      </c>
      <c r="B69" s="9">
        <f t="shared" ref="B69:C69" si="20">SUM(B57:B68)</f>
        <v>69</v>
      </c>
      <c r="C69" s="10">
        <f t="shared" si="20"/>
        <v>84</v>
      </c>
      <c r="D69" s="10"/>
      <c r="E69" s="11">
        <f>SUM(E57:E68)</f>
        <v>4002000</v>
      </c>
      <c r="F69" s="12">
        <f t="shared" si="18"/>
        <v>0.45238095238095238</v>
      </c>
      <c r="G69" s="9">
        <f t="shared" ref="G69:I69" si="21">SUM(G57:G68)</f>
        <v>29.5</v>
      </c>
      <c r="H69" s="9">
        <f t="shared" si="21"/>
        <v>38</v>
      </c>
      <c r="I69" s="10">
        <f t="shared" si="21"/>
        <v>1599192</v>
      </c>
      <c r="J69" s="12">
        <f t="shared" si="19"/>
        <v>0.39959820089955023</v>
      </c>
    </row>
    <row r="70" spans="1:15" ht="15.75" customHeight="1">
      <c r="F70" s="4"/>
      <c r="J70" s="4"/>
    </row>
    <row r="71" spans="1:15" ht="15.75" customHeight="1">
      <c r="F71" s="4"/>
      <c r="J71" s="4"/>
    </row>
    <row r="72" spans="1:15" ht="15.75" customHeight="1">
      <c r="A72" s="1" t="s">
        <v>75</v>
      </c>
      <c r="B72" s="1"/>
      <c r="C72" s="2"/>
      <c r="D72" s="2"/>
      <c r="E72" s="2"/>
      <c r="F72" s="3"/>
      <c r="G72" s="2"/>
      <c r="H72" s="2"/>
      <c r="I72" s="2"/>
      <c r="J72" s="3"/>
    </row>
    <row r="73" spans="1:15" ht="15.75" customHeight="1">
      <c r="A73" s="4" t="s">
        <v>1</v>
      </c>
      <c r="B73" s="4" t="s">
        <v>2</v>
      </c>
      <c r="C73" s="4" t="s">
        <v>3</v>
      </c>
      <c r="D73" s="4" t="s">
        <v>4</v>
      </c>
      <c r="E73" s="4" t="s">
        <v>5</v>
      </c>
      <c r="F73" s="4" t="s">
        <v>6</v>
      </c>
      <c r="G73" s="4" t="s">
        <v>7</v>
      </c>
      <c r="H73" s="4" t="s">
        <v>8</v>
      </c>
      <c r="I73" s="4" t="s">
        <v>9</v>
      </c>
      <c r="J73" s="4" t="s">
        <v>10</v>
      </c>
    </row>
    <row r="74" spans="1:15" ht="15.75" customHeight="1">
      <c r="A74" s="5" t="s">
        <v>11</v>
      </c>
      <c r="B74" s="5"/>
      <c r="C74" s="6"/>
      <c r="D74" s="6">
        <v>60000</v>
      </c>
      <c r="E74" s="7">
        <f t="shared" ref="E74:E85" si="22">B74*D74</f>
        <v>0</v>
      </c>
      <c r="F74" s="8" t="e">
        <f t="shared" ref="F74:F86" si="23">H74/C74</f>
        <v>#DIV/0!</v>
      </c>
      <c r="G74" s="6"/>
      <c r="H74" s="6"/>
      <c r="I74" s="6"/>
      <c r="J74" s="8" t="e">
        <f t="shared" ref="J74:J86" si="24">I74/E74</f>
        <v>#DIV/0!</v>
      </c>
    </row>
    <row r="75" spans="1:15" ht="15.75" customHeight="1">
      <c r="A75" s="5" t="s">
        <v>12</v>
      </c>
      <c r="B75" s="5"/>
      <c r="C75" s="6"/>
      <c r="D75" s="6">
        <v>60000</v>
      </c>
      <c r="E75" s="7">
        <f t="shared" si="22"/>
        <v>0</v>
      </c>
      <c r="F75" s="8" t="e">
        <f t="shared" si="23"/>
        <v>#DIV/0!</v>
      </c>
      <c r="G75" s="6"/>
      <c r="H75" s="6"/>
      <c r="I75" s="6"/>
      <c r="J75" s="8" t="e">
        <f t="shared" si="24"/>
        <v>#DIV/0!</v>
      </c>
    </row>
    <row r="76" spans="1:15" ht="15.75" customHeight="1">
      <c r="A76" s="5" t="s">
        <v>13</v>
      </c>
      <c r="B76" s="5"/>
      <c r="C76" s="6"/>
      <c r="D76" s="6">
        <v>60000</v>
      </c>
      <c r="E76" s="7">
        <f t="shared" si="22"/>
        <v>0</v>
      </c>
      <c r="F76" s="8" t="e">
        <f t="shared" si="23"/>
        <v>#DIV/0!</v>
      </c>
      <c r="G76" s="6"/>
      <c r="H76" s="6"/>
      <c r="I76" s="6"/>
      <c r="J76" s="8" t="e">
        <f t="shared" si="24"/>
        <v>#DIV/0!</v>
      </c>
    </row>
    <row r="77" spans="1:15" ht="15.75" customHeight="1">
      <c r="A77" s="5" t="s">
        <v>14</v>
      </c>
      <c r="B77" s="5"/>
      <c r="C77" s="6"/>
      <c r="D77" s="6">
        <v>60000</v>
      </c>
      <c r="E77" s="7">
        <f t="shared" si="22"/>
        <v>0</v>
      </c>
      <c r="F77" s="8" t="e">
        <f t="shared" si="23"/>
        <v>#DIV/0!</v>
      </c>
      <c r="G77" s="6"/>
      <c r="H77" s="6">
        <v>2</v>
      </c>
      <c r="I77" s="6"/>
      <c r="J77" s="8" t="e">
        <f t="shared" si="24"/>
        <v>#DIV/0!</v>
      </c>
      <c r="O77" t="s">
        <v>76</v>
      </c>
    </row>
    <row r="78" spans="1:15" ht="15.75" customHeight="1">
      <c r="A78" s="5" t="s">
        <v>15</v>
      </c>
      <c r="B78" s="5"/>
      <c r="C78" s="6"/>
      <c r="D78" s="6">
        <v>60000</v>
      </c>
      <c r="E78" s="7">
        <f t="shared" si="22"/>
        <v>0</v>
      </c>
      <c r="F78" s="8" t="e">
        <f t="shared" si="23"/>
        <v>#DIV/0!</v>
      </c>
      <c r="H78">
        <v>2</v>
      </c>
      <c r="I78" s="6"/>
      <c r="J78" s="8" t="e">
        <f t="shared" si="24"/>
        <v>#DIV/0!</v>
      </c>
      <c r="O78" t="s">
        <v>77</v>
      </c>
    </row>
    <row r="79" spans="1:15" ht="15.75" customHeight="1">
      <c r="A79" s="5" t="s">
        <v>16</v>
      </c>
      <c r="B79" s="5"/>
      <c r="C79" s="6"/>
      <c r="D79" s="6">
        <v>60000</v>
      </c>
      <c r="E79" s="7">
        <f t="shared" si="22"/>
        <v>0</v>
      </c>
      <c r="F79" s="8" t="e">
        <f t="shared" si="23"/>
        <v>#DIV/0!</v>
      </c>
      <c r="G79" s="6">
        <v>2</v>
      </c>
      <c r="H79">
        <v>3</v>
      </c>
      <c r="I79" s="6">
        <v>55680</v>
      </c>
      <c r="J79" s="8" t="e">
        <f t="shared" si="24"/>
        <v>#DIV/0!</v>
      </c>
      <c r="N79" t="s">
        <v>78</v>
      </c>
      <c r="O79" t="s">
        <v>79</v>
      </c>
    </row>
    <row r="80" spans="1:15" ht="15.75" customHeight="1">
      <c r="A80" s="5" t="s">
        <v>17</v>
      </c>
      <c r="B80" s="5">
        <v>2</v>
      </c>
      <c r="C80" s="6">
        <v>4</v>
      </c>
      <c r="D80" s="6">
        <v>60000</v>
      </c>
      <c r="E80" s="7">
        <f t="shared" si="22"/>
        <v>120000</v>
      </c>
      <c r="F80" s="8">
        <f t="shared" si="23"/>
        <v>0.5</v>
      </c>
      <c r="G80" s="5">
        <v>1</v>
      </c>
      <c r="H80">
        <v>2</v>
      </c>
      <c r="I80" s="6">
        <v>40320</v>
      </c>
      <c r="J80" s="8">
        <f t="shared" si="24"/>
        <v>0.33600000000000002</v>
      </c>
      <c r="N80" t="s">
        <v>80</v>
      </c>
      <c r="O80" t="s">
        <v>81</v>
      </c>
    </row>
    <row r="81" spans="1:15" ht="15.75" customHeight="1">
      <c r="A81" s="5" t="s">
        <v>18</v>
      </c>
      <c r="B81" s="5">
        <v>4</v>
      </c>
      <c r="C81" s="6">
        <v>6</v>
      </c>
      <c r="D81" s="6">
        <v>60000</v>
      </c>
      <c r="E81" s="7">
        <f t="shared" si="22"/>
        <v>240000</v>
      </c>
      <c r="F81" s="8">
        <f t="shared" si="23"/>
        <v>0.16666666666666666</v>
      </c>
      <c r="G81" s="6">
        <v>3</v>
      </c>
      <c r="H81">
        <v>1</v>
      </c>
      <c r="I81" s="6">
        <v>139200</v>
      </c>
      <c r="J81" s="8">
        <f t="shared" si="24"/>
        <v>0.57999999999999996</v>
      </c>
      <c r="N81" t="s">
        <v>82</v>
      </c>
      <c r="O81" t="s">
        <v>83</v>
      </c>
    </row>
    <row r="82" spans="1:15" ht="15.75" customHeight="1">
      <c r="A82" s="5" t="s">
        <v>19</v>
      </c>
      <c r="B82" s="5">
        <v>4</v>
      </c>
      <c r="C82" s="6">
        <v>4</v>
      </c>
      <c r="D82" s="6">
        <v>60000</v>
      </c>
      <c r="E82" s="7">
        <f t="shared" si="22"/>
        <v>240000</v>
      </c>
      <c r="F82" s="8">
        <f t="shared" si="23"/>
        <v>0.75</v>
      </c>
      <c r="G82">
        <v>2</v>
      </c>
      <c r="H82">
        <v>3</v>
      </c>
      <c r="I82" s="6">
        <v>129120</v>
      </c>
      <c r="J82" s="8">
        <f t="shared" si="24"/>
        <v>0.53800000000000003</v>
      </c>
      <c r="N82" t="s">
        <v>84</v>
      </c>
      <c r="O82" t="s">
        <v>85</v>
      </c>
    </row>
    <row r="83" spans="1:15" ht="15.75" customHeight="1">
      <c r="A83" s="5" t="s">
        <v>20</v>
      </c>
      <c r="B83" s="5">
        <v>2</v>
      </c>
      <c r="C83" s="6">
        <v>4</v>
      </c>
      <c r="D83" s="6">
        <v>60000</v>
      </c>
      <c r="E83" s="7">
        <f t="shared" si="22"/>
        <v>120000</v>
      </c>
      <c r="F83" s="8">
        <f t="shared" si="23"/>
        <v>0.25</v>
      </c>
      <c r="G83" s="5">
        <v>1</v>
      </c>
      <c r="H83">
        <v>1</v>
      </c>
      <c r="I83" s="6">
        <v>45600</v>
      </c>
      <c r="J83" s="8">
        <f t="shared" si="24"/>
        <v>0.38</v>
      </c>
      <c r="N83" t="s">
        <v>86</v>
      </c>
      <c r="O83" t="s">
        <v>87</v>
      </c>
    </row>
    <row r="84" spans="1:15" ht="15.75" customHeight="1">
      <c r="A84" s="5" t="s">
        <v>21</v>
      </c>
      <c r="B84" s="5">
        <v>1</v>
      </c>
      <c r="C84" s="6">
        <v>3</v>
      </c>
      <c r="D84" s="6">
        <v>60000</v>
      </c>
      <c r="E84" s="7">
        <f t="shared" si="22"/>
        <v>60000</v>
      </c>
      <c r="F84" s="8">
        <f t="shared" si="23"/>
        <v>0</v>
      </c>
      <c r="G84" s="5"/>
      <c r="I84" s="6"/>
      <c r="J84" s="8">
        <f t="shared" si="24"/>
        <v>0</v>
      </c>
    </row>
    <row r="85" spans="1:15" ht="15.75" customHeight="1">
      <c r="A85" s="5" t="s">
        <v>22</v>
      </c>
      <c r="B85" s="5">
        <v>1</v>
      </c>
      <c r="C85" s="6">
        <v>3</v>
      </c>
      <c r="D85" s="6">
        <v>60000</v>
      </c>
      <c r="E85" s="7">
        <f t="shared" si="22"/>
        <v>60000</v>
      </c>
      <c r="F85" s="8">
        <f t="shared" si="23"/>
        <v>0.33333333333333331</v>
      </c>
      <c r="G85">
        <v>2</v>
      </c>
      <c r="H85">
        <v>1</v>
      </c>
      <c r="I85" s="6">
        <v>122400</v>
      </c>
      <c r="J85" s="8">
        <f t="shared" si="24"/>
        <v>2.04</v>
      </c>
      <c r="N85" t="s">
        <v>88</v>
      </c>
      <c r="O85" t="s">
        <v>89</v>
      </c>
    </row>
    <row r="86" spans="1:15" ht="15.75" customHeight="1">
      <c r="A86" s="9" t="s">
        <v>23</v>
      </c>
      <c r="B86" s="9">
        <f t="shared" ref="B86:C86" si="25">SUM(B74:B85)</f>
        <v>14</v>
      </c>
      <c r="C86" s="10">
        <f t="shared" si="25"/>
        <v>24</v>
      </c>
      <c r="D86" s="10"/>
      <c r="E86" s="11">
        <f>SUM(E74:E85)</f>
        <v>840000</v>
      </c>
      <c r="F86" s="12">
        <f t="shared" si="23"/>
        <v>0.625</v>
      </c>
      <c r="G86" s="9">
        <f t="shared" ref="G86:I86" si="26">SUM(G74:G85)</f>
        <v>11</v>
      </c>
      <c r="H86" s="9">
        <f t="shared" si="26"/>
        <v>15</v>
      </c>
      <c r="I86" s="10">
        <f t="shared" si="26"/>
        <v>532320</v>
      </c>
      <c r="J86" s="12">
        <f t="shared" si="24"/>
        <v>0.63371428571428567</v>
      </c>
    </row>
    <row r="87" spans="1:15" ht="15.75" customHeight="1">
      <c r="F87" s="4"/>
      <c r="J87" s="4"/>
    </row>
    <row r="88" spans="1:15" ht="15.75" customHeight="1">
      <c r="F88" s="4"/>
      <c r="J88" s="4"/>
    </row>
    <row r="89" spans="1:15" ht="15.75" customHeight="1">
      <c r="F89" s="4"/>
      <c r="J89" s="4"/>
    </row>
    <row r="90" spans="1:15" ht="15.75" customHeight="1">
      <c r="F90" s="4"/>
      <c r="J90" s="4"/>
    </row>
    <row r="91" spans="1:15" ht="15.75" customHeight="1">
      <c r="F91" s="4"/>
      <c r="J91" s="4"/>
    </row>
    <row r="92" spans="1:15" ht="15.75" customHeight="1">
      <c r="F92" s="4"/>
      <c r="J92" s="4"/>
    </row>
    <row r="93" spans="1:15" ht="15.75" customHeight="1">
      <c r="F93" s="4"/>
      <c r="J93" s="4"/>
    </row>
    <row r="94" spans="1:15" ht="15.75" customHeight="1">
      <c r="F94" s="4"/>
      <c r="J94" s="4"/>
    </row>
    <row r="95" spans="1:15" ht="15.75" customHeight="1">
      <c r="F95" s="4"/>
      <c r="J95" s="4"/>
    </row>
    <row r="96" spans="1:15" ht="15.75" customHeight="1">
      <c r="F96" s="4"/>
      <c r="J96" s="4"/>
    </row>
    <row r="97" spans="6:10" ht="15.75" customHeight="1">
      <c r="F97" s="4"/>
      <c r="J97" s="4"/>
    </row>
    <row r="98" spans="6:10" ht="15.75" customHeight="1">
      <c r="F98" s="4"/>
      <c r="J98" s="4"/>
    </row>
    <row r="99" spans="6:10" ht="15.75" customHeight="1">
      <c r="F99" s="4"/>
      <c r="J99" s="4"/>
    </row>
    <row r="100" spans="6:10" ht="15.75" customHeight="1">
      <c r="F100" s="4"/>
      <c r="J100" s="4"/>
    </row>
    <row r="101" spans="6:10" ht="15.75" customHeight="1">
      <c r="F101" s="4"/>
      <c r="J101" s="4"/>
    </row>
    <row r="102" spans="6:10" ht="15.75" customHeight="1">
      <c r="F102" s="4"/>
      <c r="J102" s="4"/>
    </row>
    <row r="103" spans="6:10" ht="15.75" customHeight="1">
      <c r="F103" s="4"/>
      <c r="J103" s="4"/>
    </row>
    <row r="104" spans="6:10" ht="15.75" customHeight="1">
      <c r="F104" s="4"/>
      <c r="J104" s="4"/>
    </row>
    <row r="105" spans="6:10" ht="15.75" customHeight="1">
      <c r="F105" s="4"/>
      <c r="J105" s="4"/>
    </row>
    <row r="106" spans="6:10" ht="15.75" customHeight="1">
      <c r="F106" s="4"/>
      <c r="J106" s="4"/>
    </row>
    <row r="107" spans="6:10" ht="15.75" customHeight="1">
      <c r="F107" s="4"/>
      <c r="J107" s="4"/>
    </row>
    <row r="108" spans="6:10" ht="15.75" customHeight="1">
      <c r="F108" s="4"/>
      <c r="J108" s="4"/>
    </row>
    <row r="109" spans="6:10" ht="15.75" customHeight="1">
      <c r="F109" s="4"/>
      <c r="J109" s="4"/>
    </row>
    <row r="110" spans="6:10" ht="15.75" customHeight="1">
      <c r="F110" s="4"/>
      <c r="J110" s="4"/>
    </row>
    <row r="111" spans="6:10" ht="15.75" customHeight="1">
      <c r="F111" s="4"/>
      <c r="J111" s="4"/>
    </row>
    <row r="112" spans="6:10" ht="15.75" customHeight="1">
      <c r="F112" s="4"/>
      <c r="J112" s="4"/>
    </row>
    <row r="113" spans="6:10" ht="15.75" customHeight="1">
      <c r="F113" s="4"/>
      <c r="J113" s="4"/>
    </row>
    <row r="114" spans="6:10" ht="15.75" customHeight="1">
      <c r="F114" s="4"/>
      <c r="J114" s="4"/>
    </row>
    <row r="115" spans="6:10" ht="15.75" customHeight="1">
      <c r="F115" s="4"/>
      <c r="J115" s="4"/>
    </row>
    <row r="116" spans="6:10" ht="15.75" customHeight="1">
      <c r="F116" s="4"/>
      <c r="J116" s="4"/>
    </row>
    <row r="117" spans="6:10" ht="15.75" customHeight="1">
      <c r="F117" s="4"/>
      <c r="J117" s="4"/>
    </row>
    <row r="118" spans="6:10" ht="15.75" customHeight="1">
      <c r="F118" s="4"/>
      <c r="J118" s="4"/>
    </row>
    <row r="119" spans="6:10" ht="15.75" customHeight="1">
      <c r="F119" s="4"/>
      <c r="J119" s="4"/>
    </row>
    <row r="120" spans="6:10" ht="15.75" customHeight="1">
      <c r="F120" s="4"/>
      <c r="J120" s="4"/>
    </row>
    <row r="121" spans="6:10" ht="15.75" customHeight="1">
      <c r="F121" s="4"/>
      <c r="J121" s="4"/>
    </row>
    <row r="122" spans="6:10" ht="15.75" customHeight="1">
      <c r="F122" s="4"/>
      <c r="J122" s="4"/>
    </row>
    <row r="123" spans="6:10" ht="15.75" customHeight="1">
      <c r="F123" s="4"/>
      <c r="J123" s="4"/>
    </row>
    <row r="124" spans="6:10" ht="15.75" customHeight="1">
      <c r="F124" s="4"/>
      <c r="J124" s="4"/>
    </row>
    <row r="125" spans="6:10" ht="15.75" customHeight="1">
      <c r="F125" s="4"/>
      <c r="J125" s="4"/>
    </row>
    <row r="126" spans="6:10" ht="15.75" customHeight="1">
      <c r="F126" s="4"/>
      <c r="J126" s="4"/>
    </row>
    <row r="127" spans="6:10" ht="15.75" customHeight="1">
      <c r="F127" s="4"/>
      <c r="J127" s="4"/>
    </row>
    <row r="128" spans="6:10" ht="15.75" customHeight="1">
      <c r="F128" s="4"/>
      <c r="J128" s="4"/>
    </row>
    <row r="129" spans="6:10" ht="15.75" customHeight="1">
      <c r="F129" s="4"/>
      <c r="J129" s="4"/>
    </row>
    <row r="130" spans="6:10" ht="15.75" customHeight="1">
      <c r="F130" s="4"/>
      <c r="J130" s="4"/>
    </row>
    <row r="131" spans="6:10" ht="15.75" customHeight="1">
      <c r="F131" s="4"/>
      <c r="J131" s="4"/>
    </row>
    <row r="132" spans="6:10" ht="15.75" customHeight="1">
      <c r="F132" s="4"/>
      <c r="J132" s="4"/>
    </row>
    <row r="133" spans="6:10" ht="15.75" customHeight="1">
      <c r="F133" s="4"/>
      <c r="J133" s="4"/>
    </row>
    <row r="134" spans="6:10" ht="15.75" customHeight="1">
      <c r="F134" s="4"/>
      <c r="J134" s="4"/>
    </row>
    <row r="135" spans="6:10" ht="15.75" customHeight="1">
      <c r="F135" s="4"/>
      <c r="J135" s="4"/>
    </row>
    <row r="136" spans="6:10" ht="15.75" customHeight="1">
      <c r="F136" s="4"/>
      <c r="J136" s="4"/>
    </row>
    <row r="137" spans="6:10" ht="15.75" customHeight="1">
      <c r="F137" s="4"/>
      <c r="J137" s="4"/>
    </row>
    <row r="138" spans="6:10" ht="15.75" customHeight="1">
      <c r="F138" s="4"/>
      <c r="J138" s="4"/>
    </row>
    <row r="139" spans="6:10" ht="15.75" customHeight="1">
      <c r="F139" s="4"/>
      <c r="J139" s="4"/>
    </row>
    <row r="140" spans="6:10" ht="15.75" customHeight="1">
      <c r="F140" s="4"/>
      <c r="J140" s="4"/>
    </row>
    <row r="141" spans="6:10" ht="15.75" customHeight="1">
      <c r="F141" s="4"/>
      <c r="J141" s="4"/>
    </row>
    <row r="142" spans="6:10" ht="15.75" customHeight="1">
      <c r="F142" s="4"/>
      <c r="J142" s="4"/>
    </row>
    <row r="143" spans="6:10" ht="15.75" customHeight="1">
      <c r="F143" s="4"/>
      <c r="J143" s="4"/>
    </row>
    <row r="144" spans="6:10" ht="15.75" customHeight="1">
      <c r="F144" s="4"/>
      <c r="J144" s="4"/>
    </row>
    <row r="145" spans="6:10" ht="15.75" customHeight="1">
      <c r="F145" s="4"/>
      <c r="J145" s="4"/>
    </row>
    <row r="146" spans="6:10" ht="15.75" customHeight="1">
      <c r="F146" s="4"/>
      <c r="J146" s="4"/>
    </row>
    <row r="147" spans="6:10" ht="15.75" customHeight="1">
      <c r="F147" s="4"/>
      <c r="J147" s="4"/>
    </row>
    <row r="148" spans="6:10" ht="15.75" customHeight="1">
      <c r="F148" s="4"/>
      <c r="J148" s="4"/>
    </row>
    <row r="149" spans="6:10" ht="15.75" customHeight="1">
      <c r="F149" s="4"/>
      <c r="J149" s="4"/>
    </row>
    <row r="150" spans="6:10" ht="15.75" customHeight="1">
      <c r="F150" s="4"/>
      <c r="J150" s="4"/>
    </row>
    <row r="151" spans="6:10" ht="15.75" customHeight="1">
      <c r="F151" s="4"/>
      <c r="J151" s="4"/>
    </row>
    <row r="152" spans="6:10" ht="15.75" customHeight="1">
      <c r="F152" s="4"/>
      <c r="J152" s="4"/>
    </row>
    <row r="153" spans="6:10" ht="15.75" customHeight="1">
      <c r="F153" s="4"/>
      <c r="J153" s="4"/>
    </row>
    <row r="154" spans="6:10" ht="15.75" customHeight="1">
      <c r="F154" s="4"/>
      <c r="J154" s="4"/>
    </row>
    <row r="155" spans="6:10" ht="15.75" customHeight="1">
      <c r="F155" s="4"/>
      <c r="J155" s="4"/>
    </row>
    <row r="156" spans="6:10" ht="15.75" customHeight="1">
      <c r="F156" s="4"/>
      <c r="J156" s="4"/>
    </row>
    <row r="157" spans="6:10" ht="15.75" customHeight="1">
      <c r="F157" s="4"/>
      <c r="J157" s="4"/>
    </row>
    <row r="158" spans="6:10" ht="15.75" customHeight="1">
      <c r="F158" s="4"/>
      <c r="J158" s="4"/>
    </row>
    <row r="159" spans="6:10" ht="15.75" customHeight="1">
      <c r="F159" s="4"/>
      <c r="J159" s="4"/>
    </row>
    <row r="160" spans="6:10" ht="15.75" customHeight="1">
      <c r="F160" s="4"/>
      <c r="J160" s="4"/>
    </row>
    <row r="161" spans="6:10" ht="15.75" customHeight="1">
      <c r="F161" s="4"/>
      <c r="J161" s="4"/>
    </row>
    <row r="162" spans="6:10" ht="15.75" customHeight="1">
      <c r="F162" s="4"/>
      <c r="J162" s="4"/>
    </row>
    <row r="163" spans="6:10" ht="15.75" customHeight="1">
      <c r="F163" s="4"/>
      <c r="J163" s="4"/>
    </row>
    <row r="164" spans="6:10" ht="15.75" customHeight="1">
      <c r="F164" s="4"/>
      <c r="J164" s="4"/>
    </row>
    <row r="165" spans="6:10" ht="15.75" customHeight="1">
      <c r="F165" s="4"/>
      <c r="J165" s="4"/>
    </row>
    <row r="166" spans="6:10" ht="15.75" customHeight="1">
      <c r="F166" s="4"/>
      <c r="J166" s="4"/>
    </row>
    <row r="167" spans="6:10" ht="15.75" customHeight="1">
      <c r="F167" s="4"/>
      <c r="J167" s="4"/>
    </row>
    <row r="168" spans="6:10" ht="15.75" customHeight="1">
      <c r="F168" s="4"/>
      <c r="J168" s="4"/>
    </row>
    <row r="169" spans="6:10" ht="15.75" customHeight="1">
      <c r="F169" s="4"/>
      <c r="J169" s="4"/>
    </row>
    <row r="170" spans="6:10" ht="15.75" customHeight="1">
      <c r="F170" s="4"/>
      <c r="J170" s="4"/>
    </row>
    <row r="171" spans="6:10" ht="15.75" customHeight="1">
      <c r="F171" s="4"/>
      <c r="J171" s="4"/>
    </row>
    <row r="172" spans="6:10" ht="15.75" customHeight="1">
      <c r="F172" s="4"/>
      <c r="J172" s="4"/>
    </row>
    <row r="173" spans="6:10" ht="15.75" customHeight="1">
      <c r="F173" s="4"/>
      <c r="J173" s="4"/>
    </row>
    <row r="174" spans="6:10" ht="15.75" customHeight="1">
      <c r="F174" s="4"/>
      <c r="J174" s="4"/>
    </row>
    <row r="175" spans="6:10" ht="15.75" customHeight="1">
      <c r="F175" s="4"/>
      <c r="J175" s="4"/>
    </row>
    <row r="176" spans="6:10" ht="15.75" customHeight="1">
      <c r="F176" s="4"/>
      <c r="J176" s="4"/>
    </row>
    <row r="177" spans="6:10" ht="15.75" customHeight="1">
      <c r="F177" s="4"/>
      <c r="J177" s="4"/>
    </row>
    <row r="178" spans="6:10" ht="15.75" customHeight="1">
      <c r="F178" s="4"/>
      <c r="J178" s="4"/>
    </row>
    <row r="179" spans="6:10" ht="15.75" customHeight="1">
      <c r="F179" s="4"/>
      <c r="J179" s="4"/>
    </row>
    <row r="180" spans="6:10" ht="15.75" customHeight="1">
      <c r="F180" s="4"/>
      <c r="J180" s="4"/>
    </row>
    <row r="181" spans="6:10" ht="15.75" customHeight="1">
      <c r="F181" s="4"/>
      <c r="J181" s="4"/>
    </row>
    <row r="182" spans="6:10" ht="15.75" customHeight="1">
      <c r="F182" s="4"/>
      <c r="J182" s="4"/>
    </row>
    <row r="183" spans="6:10" ht="15.75" customHeight="1">
      <c r="F183" s="4"/>
      <c r="J183" s="4"/>
    </row>
    <row r="184" spans="6:10" ht="15.75" customHeight="1">
      <c r="F184" s="4"/>
      <c r="J184" s="4"/>
    </row>
    <row r="185" spans="6:10" ht="15.75" customHeight="1">
      <c r="F185" s="4"/>
      <c r="J185" s="4"/>
    </row>
    <row r="186" spans="6:10" ht="15.75" customHeight="1">
      <c r="F186" s="4"/>
      <c r="J186" s="4"/>
    </row>
    <row r="187" spans="6:10" ht="15.75" customHeight="1">
      <c r="F187" s="4"/>
      <c r="J187" s="4"/>
    </row>
    <row r="188" spans="6:10" ht="15.75" customHeight="1">
      <c r="F188" s="4"/>
      <c r="J188" s="4"/>
    </row>
    <row r="189" spans="6:10" ht="15.75" customHeight="1">
      <c r="F189" s="4"/>
      <c r="J189" s="4"/>
    </row>
    <row r="190" spans="6:10" ht="15.75" customHeight="1">
      <c r="F190" s="4"/>
      <c r="J190" s="4"/>
    </row>
    <row r="191" spans="6:10" ht="15.75" customHeight="1">
      <c r="F191" s="4"/>
      <c r="J191" s="4"/>
    </row>
    <row r="192" spans="6:10" ht="15.75" customHeight="1">
      <c r="F192" s="4"/>
      <c r="J192" s="4"/>
    </row>
    <row r="193" spans="6:10" ht="15.75" customHeight="1">
      <c r="F193" s="4"/>
      <c r="J193" s="4"/>
    </row>
    <row r="194" spans="6:10" ht="15.75" customHeight="1">
      <c r="F194" s="4"/>
      <c r="J194" s="4"/>
    </row>
    <row r="195" spans="6:10" ht="15.75" customHeight="1">
      <c r="F195" s="4"/>
      <c r="J195" s="4"/>
    </row>
    <row r="196" spans="6:10" ht="15.75" customHeight="1">
      <c r="F196" s="4"/>
      <c r="J196" s="4"/>
    </row>
    <row r="197" spans="6:10" ht="15.75" customHeight="1">
      <c r="F197" s="4"/>
      <c r="J197" s="4"/>
    </row>
    <row r="198" spans="6:10" ht="15.75" customHeight="1">
      <c r="F198" s="4"/>
      <c r="J198" s="4"/>
    </row>
    <row r="199" spans="6:10" ht="15.75" customHeight="1">
      <c r="F199" s="4"/>
      <c r="J199" s="4"/>
    </row>
    <row r="200" spans="6:10" ht="15.75" customHeight="1">
      <c r="F200" s="4"/>
      <c r="J200" s="4"/>
    </row>
    <row r="201" spans="6:10" ht="15.75" customHeight="1">
      <c r="F201" s="4"/>
      <c r="J201" s="4"/>
    </row>
    <row r="202" spans="6:10" ht="15.75" customHeight="1">
      <c r="F202" s="4"/>
      <c r="J202" s="4"/>
    </row>
    <row r="203" spans="6:10" ht="15.75" customHeight="1">
      <c r="F203" s="4"/>
      <c r="J203" s="4"/>
    </row>
    <row r="204" spans="6:10" ht="15.75" customHeight="1">
      <c r="F204" s="4"/>
      <c r="J204" s="4"/>
    </row>
    <row r="205" spans="6:10" ht="15.75" customHeight="1">
      <c r="F205" s="4"/>
      <c r="J205" s="4"/>
    </row>
    <row r="206" spans="6:10" ht="15.75" customHeight="1">
      <c r="F206" s="4"/>
      <c r="J206" s="4"/>
    </row>
    <row r="207" spans="6:10" ht="15.75" customHeight="1">
      <c r="F207" s="4"/>
      <c r="J207" s="4"/>
    </row>
    <row r="208" spans="6:10" ht="15.75" customHeight="1">
      <c r="F208" s="4"/>
      <c r="J208" s="4"/>
    </row>
    <row r="209" spans="6:10" ht="15.75" customHeight="1">
      <c r="F209" s="4"/>
      <c r="J209" s="4"/>
    </row>
    <row r="210" spans="6:10" ht="15.75" customHeight="1">
      <c r="F210" s="4"/>
      <c r="J210" s="4"/>
    </row>
    <row r="211" spans="6:10" ht="15.75" customHeight="1">
      <c r="F211" s="4"/>
      <c r="J211" s="4"/>
    </row>
    <row r="212" spans="6:10" ht="15.75" customHeight="1">
      <c r="F212" s="4"/>
      <c r="J212" s="4"/>
    </row>
    <row r="213" spans="6:10" ht="15.75" customHeight="1">
      <c r="F213" s="4"/>
      <c r="J213" s="4"/>
    </row>
    <row r="214" spans="6:10" ht="15.75" customHeight="1">
      <c r="F214" s="4"/>
      <c r="J214" s="4"/>
    </row>
    <row r="215" spans="6:10" ht="15.75" customHeight="1">
      <c r="F215" s="4"/>
      <c r="J215" s="4"/>
    </row>
    <row r="216" spans="6:10" ht="15.75" customHeight="1">
      <c r="F216" s="4"/>
      <c r="J216" s="4"/>
    </row>
    <row r="217" spans="6:10" ht="15.75" customHeight="1">
      <c r="F217" s="4"/>
      <c r="J217" s="4"/>
    </row>
    <row r="218" spans="6:10" ht="15.75" customHeight="1">
      <c r="F218" s="4"/>
      <c r="J218" s="4"/>
    </row>
    <row r="219" spans="6:10" ht="15.75" customHeight="1">
      <c r="F219" s="4"/>
      <c r="J219" s="4"/>
    </row>
    <row r="220" spans="6:10" ht="15.75" customHeight="1">
      <c r="F220" s="4"/>
      <c r="J220" s="4"/>
    </row>
    <row r="221" spans="6:10" ht="15.75" customHeight="1">
      <c r="F221" s="4"/>
      <c r="J221" s="4"/>
    </row>
    <row r="222" spans="6:10" ht="15.75" customHeight="1">
      <c r="F222" s="4"/>
      <c r="J222" s="4"/>
    </row>
    <row r="223" spans="6:10" ht="15.75" customHeight="1">
      <c r="F223" s="4"/>
      <c r="J223" s="4"/>
    </row>
    <row r="224" spans="6:10" ht="15.75" customHeight="1">
      <c r="F224" s="4"/>
      <c r="J224" s="4"/>
    </row>
    <row r="225" spans="6:10" ht="15.75" customHeight="1">
      <c r="F225" s="4"/>
      <c r="J225" s="4"/>
    </row>
    <row r="226" spans="6:10" ht="15.75" customHeight="1">
      <c r="F226" s="4"/>
      <c r="J226" s="4"/>
    </row>
    <row r="227" spans="6:10" ht="15.75" customHeight="1">
      <c r="F227" s="4"/>
      <c r="J227" s="4"/>
    </row>
    <row r="228" spans="6:10" ht="15.75" customHeight="1">
      <c r="F228" s="4"/>
      <c r="J228" s="4"/>
    </row>
    <row r="229" spans="6:10" ht="15.75" customHeight="1">
      <c r="F229" s="4"/>
      <c r="J229" s="4"/>
    </row>
    <row r="230" spans="6:10" ht="15.75" customHeight="1">
      <c r="F230" s="4"/>
      <c r="J230" s="4"/>
    </row>
    <row r="231" spans="6:10" ht="15.75" customHeight="1">
      <c r="F231" s="4"/>
      <c r="J231" s="4"/>
    </row>
    <row r="232" spans="6:10" ht="15.75" customHeight="1">
      <c r="F232" s="4"/>
      <c r="J232" s="4"/>
    </row>
    <row r="233" spans="6:10" ht="15.75" customHeight="1">
      <c r="F233" s="4"/>
      <c r="J233" s="4"/>
    </row>
    <row r="234" spans="6:10" ht="15.75" customHeight="1">
      <c r="F234" s="4"/>
      <c r="J234" s="4"/>
    </row>
    <row r="235" spans="6:10" ht="15.75" customHeight="1">
      <c r="F235" s="4"/>
      <c r="J235" s="4"/>
    </row>
    <row r="236" spans="6:10" ht="15.75" customHeight="1">
      <c r="F236" s="4"/>
      <c r="J236" s="4"/>
    </row>
    <row r="237" spans="6:10" ht="15.75" customHeight="1">
      <c r="F237" s="4"/>
      <c r="J237" s="4"/>
    </row>
    <row r="238" spans="6:10" ht="15.75" customHeight="1">
      <c r="F238" s="4"/>
      <c r="J238" s="4"/>
    </row>
    <row r="239" spans="6:10" ht="15.75" customHeight="1">
      <c r="F239" s="4"/>
      <c r="J239" s="4"/>
    </row>
    <row r="240" spans="6:10" ht="15.75" customHeight="1">
      <c r="F240" s="4"/>
      <c r="J240" s="4"/>
    </row>
    <row r="241" spans="6:10" ht="15.75" customHeight="1">
      <c r="F241" s="4"/>
      <c r="J241" s="4"/>
    </row>
    <row r="242" spans="6:10" ht="15.75" customHeight="1">
      <c r="F242" s="4"/>
      <c r="J242" s="4"/>
    </row>
    <row r="243" spans="6:10" ht="15.75" customHeight="1">
      <c r="F243" s="4"/>
      <c r="J243" s="4"/>
    </row>
    <row r="244" spans="6:10" ht="15.75" customHeight="1">
      <c r="F244" s="4"/>
      <c r="J244" s="4"/>
    </row>
    <row r="245" spans="6:10" ht="15.75" customHeight="1">
      <c r="F245" s="4"/>
      <c r="J245" s="4"/>
    </row>
    <row r="246" spans="6:10" ht="15.75" customHeight="1">
      <c r="F246" s="4"/>
      <c r="J246" s="4"/>
    </row>
    <row r="247" spans="6:10" ht="15.75" customHeight="1">
      <c r="F247" s="4"/>
      <c r="J247" s="4"/>
    </row>
    <row r="248" spans="6:10" ht="15.75" customHeight="1">
      <c r="F248" s="4"/>
      <c r="J248" s="4"/>
    </row>
    <row r="249" spans="6:10" ht="15.75" customHeight="1">
      <c r="F249" s="4"/>
      <c r="J249" s="4"/>
    </row>
    <row r="250" spans="6:10" ht="15.75" customHeight="1">
      <c r="F250" s="4"/>
      <c r="J250" s="4"/>
    </row>
    <row r="251" spans="6:10" ht="15.75" customHeight="1">
      <c r="F251" s="4"/>
      <c r="J251" s="4"/>
    </row>
    <row r="252" spans="6:10" ht="15.75" customHeight="1">
      <c r="F252" s="4"/>
      <c r="J252" s="4"/>
    </row>
    <row r="253" spans="6:10" ht="15.75" customHeight="1">
      <c r="F253" s="4"/>
      <c r="J253" s="4"/>
    </row>
    <row r="254" spans="6:10" ht="15.75" customHeight="1">
      <c r="F254" s="4"/>
      <c r="J254" s="4"/>
    </row>
    <row r="255" spans="6:10" ht="15.75" customHeight="1">
      <c r="F255" s="4"/>
      <c r="J255" s="4"/>
    </row>
    <row r="256" spans="6:10" ht="15.75" customHeight="1">
      <c r="F256" s="4"/>
      <c r="J256" s="4"/>
    </row>
    <row r="257" spans="6:10" ht="15.75" customHeight="1">
      <c r="F257" s="4"/>
      <c r="J257" s="4"/>
    </row>
    <row r="258" spans="6:10" ht="15.75" customHeight="1">
      <c r="F258" s="4"/>
      <c r="J258" s="4"/>
    </row>
    <row r="259" spans="6:10" ht="15.75" customHeight="1">
      <c r="F259" s="4"/>
      <c r="J259" s="4"/>
    </row>
    <row r="260" spans="6:10" ht="15.75" customHeight="1">
      <c r="F260" s="4"/>
      <c r="J260" s="4"/>
    </row>
    <row r="261" spans="6:10" ht="15.75" customHeight="1">
      <c r="F261" s="4"/>
      <c r="J261" s="4"/>
    </row>
    <row r="262" spans="6:10" ht="15.75" customHeight="1">
      <c r="F262" s="4"/>
      <c r="J262" s="4"/>
    </row>
    <row r="263" spans="6:10" ht="15.75" customHeight="1">
      <c r="F263" s="4"/>
      <c r="J263" s="4"/>
    </row>
    <row r="264" spans="6:10" ht="15.75" customHeight="1">
      <c r="F264" s="4"/>
      <c r="J264" s="4"/>
    </row>
    <row r="265" spans="6:10" ht="15.75" customHeight="1">
      <c r="F265" s="4"/>
      <c r="J265" s="4"/>
    </row>
    <row r="266" spans="6:10" ht="15.75" customHeight="1">
      <c r="F266" s="4"/>
      <c r="J266" s="4"/>
    </row>
    <row r="267" spans="6:10" ht="15.75" customHeight="1">
      <c r="F267" s="4"/>
      <c r="J267" s="4"/>
    </row>
    <row r="268" spans="6:10" ht="15.75" customHeight="1">
      <c r="F268" s="4"/>
      <c r="J268" s="4"/>
    </row>
    <row r="269" spans="6:10" ht="15.75" customHeight="1">
      <c r="F269" s="4"/>
      <c r="J269" s="4"/>
    </row>
    <row r="270" spans="6:10" ht="15.75" customHeight="1">
      <c r="F270" s="4"/>
      <c r="J270" s="4"/>
    </row>
    <row r="271" spans="6:10" ht="15.75" customHeight="1">
      <c r="F271" s="4"/>
      <c r="J271" s="4"/>
    </row>
    <row r="272" spans="6:10" ht="15.75" customHeight="1">
      <c r="F272" s="4"/>
      <c r="J272" s="4"/>
    </row>
    <row r="273" spans="6:10" ht="15.75" customHeight="1">
      <c r="F273" s="4"/>
      <c r="J273" s="4"/>
    </row>
    <row r="274" spans="6:10" ht="15.75" customHeight="1">
      <c r="F274" s="4"/>
      <c r="J274" s="4"/>
    </row>
    <row r="275" spans="6:10" ht="15.75" customHeight="1">
      <c r="F275" s="4"/>
      <c r="J275" s="4"/>
    </row>
    <row r="276" spans="6:10" ht="15.75" customHeight="1">
      <c r="F276" s="4"/>
      <c r="J276" s="4"/>
    </row>
    <row r="277" spans="6:10" ht="15.75" customHeight="1">
      <c r="F277" s="4"/>
      <c r="J277" s="4"/>
    </row>
    <row r="278" spans="6:10" ht="15.75" customHeight="1">
      <c r="F278" s="4"/>
      <c r="J278" s="4"/>
    </row>
    <row r="279" spans="6:10" ht="15.75" customHeight="1">
      <c r="F279" s="4"/>
      <c r="J279" s="4"/>
    </row>
    <row r="280" spans="6:10" ht="15.75" customHeight="1">
      <c r="F280" s="4"/>
      <c r="J280" s="4"/>
    </row>
    <row r="281" spans="6:10" ht="15.75" customHeight="1">
      <c r="F281" s="4"/>
      <c r="J281" s="4"/>
    </row>
    <row r="282" spans="6:10" ht="15.75" customHeight="1">
      <c r="F282" s="4"/>
      <c r="J282" s="4"/>
    </row>
    <row r="283" spans="6:10" ht="15.75" customHeight="1">
      <c r="F283" s="4"/>
      <c r="J283" s="4"/>
    </row>
    <row r="284" spans="6:10" ht="15.75" customHeight="1">
      <c r="F284" s="4"/>
      <c r="J284" s="4"/>
    </row>
    <row r="285" spans="6:10" ht="15.75" customHeight="1">
      <c r="F285" s="4"/>
      <c r="J285" s="4"/>
    </row>
    <row r="286" spans="6:10" ht="15.75" customHeight="1">
      <c r="F286" s="4"/>
      <c r="J286" s="4"/>
    </row>
    <row r="287" spans="6:10" ht="15.75" customHeight="1">
      <c r="F287" s="4"/>
      <c r="J287" s="4"/>
    </row>
    <row r="288" spans="6:10" ht="15.75" customHeight="1">
      <c r="F288" s="4"/>
      <c r="J288" s="4"/>
    </row>
    <row r="289" spans="6:10" ht="15.75" customHeight="1">
      <c r="F289" s="4"/>
      <c r="J289" s="4"/>
    </row>
    <row r="290" spans="6:10" ht="15.75" customHeight="1">
      <c r="F290" s="4"/>
      <c r="J290" s="4"/>
    </row>
    <row r="291" spans="6:10" ht="15.75" customHeight="1">
      <c r="F291" s="4"/>
      <c r="J291" s="4"/>
    </row>
    <row r="292" spans="6:10" ht="15.75" customHeight="1">
      <c r="F292" s="4"/>
      <c r="J292" s="4"/>
    </row>
    <row r="293" spans="6:10" ht="15.75" customHeight="1">
      <c r="F293" s="4"/>
      <c r="J293" s="4"/>
    </row>
    <row r="294" spans="6:10" ht="15.75" customHeight="1">
      <c r="F294" s="4"/>
      <c r="J294" s="4"/>
    </row>
    <row r="295" spans="6:10" ht="15.75" customHeight="1">
      <c r="F295" s="4"/>
      <c r="J295" s="4"/>
    </row>
    <row r="296" spans="6:10" ht="15.75" customHeight="1">
      <c r="F296" s="4"/>
      <c r="J296" s="4"/>
    </row>
    <row r="297" spans="6:10" ht="15.75" customHeight="1">
      <c r="F297" s="4"/>
      <c r="J297" s="4"/>
    </row>
    <row r="298" spans="6:10" ht="15.75" customHeight="1">
      <c r="F298" s="4"/>
      <c r="J298" s="4"/>
    </row>
    <row r="299" spans="6:10" ht="15.75" customHeight="1">
      <c r="F299" s="4"/>
      <c r="J299" s="4"/>
    </row>
    <row r="300" spans="6:10" ht="15.75" customHeight="1">
      <c r="F300" s="4"/>
      <c r="J300" s="4"/>
    </row>
    <row r="301" spans="6:10" ht="15.75" customHeight="1">
      <c r="F301" s="4"/>
      <c r="J301" s="4"/>
    </row>
    <row r="302" spans="6:10" ht="15.75" customHeight="1">
      <c r="F302" s="4"/>
      <c r="J302" s="4"/>
    </row>
    <row r="303" spans="6:10" ht="15.75" customHeight="1">
      <c r="F303" s="4"/>
      <c r="J303" s="4"/>
    </row>
    <row r="304" spans="6:10" ht="15.75" customHeight="1">
      <c r="F304" s="4"/>
      <c r="J304" s="4"/>
    </row>
    <row r="305" spans="6:10" ht="15.75" customHeight="1">
      <c r="F305" s="4"/>
      <c r="J305" s="4"/>
    </row>
    <row r="306" spans="6:10" ht="15.75" customHeight="1">
      <c r="F306" s="4"/>
      <c r="J306" s="4"/>
    </row>
    <row r="307" spans="6:10" ht="15.75" customHeight="1">
      <c r="F307" s="4"/>
      <c r="J307" s="4"/>
    </row>
    <row r="308" spans="6:10" ht="15.75" customHeight="1">
      <c r="F308" s="4"/>
      <c r="J308" s="4"/>
    </row>
    <row r="309" spans="6:10" ht="15.75" customHeight="1">
      <c r="F309" s="4"/>
      <c r="J309" s="4"/>
    </row>
    <row r="310" spans="6:10" ht="15.75" customHeight="1">
      <c r="F310" s="4"/>
      <c r="J310" s="4"/>
    </row>
    <row r="311" spans="6:10" ht="15.75" customHeight="1">
      <c r="F311" s="4"/>
      <c r="J311" s="4"/>
    </row>
    <row r="312" spans="6:10" ht="15.75" customHeight="1">
      <c r="F312" s="4"/>
      <c r="J312" s="4"/>
    </row>
    <row r="313" spans="6:10" ht="15.75" customHeight="1">
      <c r="F313" s="4"/>
      <c r="J313" s="4"/>
    </row>
    <row r="314" spans="6:10" ht="15.75" customHeight="1">
      <c r="F314" s="4"/>
      <c r="J314" s="4"/>
    </row>
    <row r="315" spans="6:10" ht="15.75" customHeight="1">
      <c r="F315" s="4"/>
      <c r="J315" s="4"/>
    </row>
    <row r="316" spans="6:10" ht="15.75" customHeight="1">
      <c r="F316" s="4"/>
      <c r="J316" s="4"/>
    </row>
    <row r="317" spans="6:10" ht="15.75" customHeight="1">
      <c r="F317" s="4"/>
      <c r="J317" s="4"/>
    </row>
    <row r="318" spans="6:10" ht="15.75" customHeight="1">
      <c r="F318" s="4"/>
      <c r="J318" s="4"/>
    </row>
    <row r="319" spans="6:10" ht="15.75" customHeight="1">
      <c r="F319" s="4"/>
      <c r="J319" s="4"/>
    </row>
    <row r="320" spans="6:10" ht="15.75" customHeight="1">
      <c r="F320" s="4"/>
      <c r="J320" s="4"/>
    </row>
    <row r="321" spans="6:10" ht="15.75" customHeight="1">
      <c r="F321" s="4"/>
      <c r="J321" s="4"/>
    </row>
    <row r="322" spans="6:10" ht="15.75" customHeight="1">
      <c r="F322" s="4"/>
      <c r="J322" s="4"/>
    </row>
    <row r="323" spans="6:10" ht="15.75" customHeight="1">
      <c r="F323" s="4"/>
      <c r="J323" s="4"/>
    </row>
    <row r="324" spans="6:10" ht="15.75" customHeight="1">
      <c r="F324" s="4"/>
      <c r="J324" s="4"/>
    </row>
    <row r="325" spans="6:10" ht="15.75" customHeight="1">
      <c r="F325" s="4"/>
      <c r="J325" s="4"/>
    </row>
    <row r="326" spans="6:10" ht="15.75" customHeight="1">
      <c r="F326" s="4"/>
      <c r="J326" s="4"/>
    </row>
    <row r="327" spans="6:10" ht="15.75" customHeight="1">
      <c r="F327" s="4"/>
      <c r="J327" s="4"/>
    </row>
    <row r="328" spans="6:10" ht="15.75" customHeight="1">
      <c r="F328" s="4"/>
      <c r="J328" s="4"/>
    </row>
    <row r="329" spans="6:10" ht="15.75" customHeight="1">
      <c r="F329" s="4"/>
      <c r="J329" s="4"/>
    </row>
    <row r="330" spans="6:10" ht="15.75" customHeight="1">
      <c r="F330" s="4"/>
      <c r="J330" s="4"/>
    </row>
    <row r="331" spans="6:10" ht="15.75" customHeight="1">
      <c r="F331" s="4"/>
      <c r="J331" s="4"/>
    </row>
    <row r="332" spans="6:10" ht="15.75" customHeight="1">
      <c r="F332" s="4"/>
      <c r="J332" s="4"/>
    </row>
    <row r="333" spans="6:10" ht="15.75" customHeight="1">
      <c r="F333" s="4"/>
      <c r="J333" s="4"/>
    </row>
    <row r="334" spans="6:10" ht="15.75" customHeight="1">
      <c r="F334" s="4"/>
      <c r="J334" s="4"/>
    </row>
    <row r="335" spans="6:10" ht="15.75" customHeight="1">
      <c r="F335" s="4"/>
      <c r="J335" s="4"/>
    </row>
    <row r="336" spans="6:10" ht="15.75" customHeight="1">
      <c r="F336" s="4"/>
      <c r="J336" s="4"/>
    </row>
    <row r="337" spans="6:10" ht="15.75" customHeight="1">
      <c r="F337" s="4"/>
      <c r="J337" s="4"/>
    </row>
    <row r="338" spans="6:10" ht="15.75" customHeight="1">
      <c r="F338" s="4"/>
      <c r="J338" s="4"/>
    </row>
    <row r="339" spans="6:10" ht="15.75" customHeight="1">
      <c r="F339" s="4"/>
      <c r="J339" s="4"/>
    </row>
    <row r="340" spans="6:10" ht="15.75" customHeight="1">
      <c r="F340" s="4"/>
      <c r="J340" s="4"/>
    </row>
    <row r="341" spans="6:10" ht="15.75" customHeight="1">
      <c r="F341" s="4"/>
      <c r="J341" s="4"/>
    </row>
    <row r="342" spans="6:10" ht="15.75" customHeight="1">
      <c r="F342" s="4"/>
      <c r="J342" s="4"/>
    </row>
    <row r="343" spans="6:10" ht="15.75" customHeight="1">
      <c r="F343" s="4"/>
      <c r="J343" s="4"/>
    </row>
    <row r="344" spans="6:10" ht="15.75" customHeight="1">
      <c r="F344" s="4"/>
      <c r="J344" s="4"/>
    </row>
    <row r="345" spans="6:10" ht="15.75" customHeight="1">
      <c r="F345" s="4"/>
      <c r="J345" s="4"/>
    </row>
    <row r="346" spans="6:10" ht="15.75" customHeight="1">
      <c r="F346" s="4"/>
      <c r="J346" s="4"/>
    </row>
    <row r="347" spans="6:10" ht="15.75" customHeight="1">
      <c r="F347" s="4"/>
      <c r="J347" s="4"/>
    </row>
    <row r="348" spans="6:10" ht="15.75" customHeight="1">
      <c r="F348" s="4"/>
      <c r="J348" s="4"/>
    </row>
    <row r="349" spans="6:10" ht="15.75" customHeight="1">
      <c r="F349" s="4"/>
      <c r="J349" s="4"/>
    </row>
    <row r="350" spans="6:10" ht="15.75" customHeight="1">
      <c r="F350" s="4"/>
      <c r="J350" s="4"/>
    </row>
    <row r="351" spans="6:10" ht="15.75" customHeight="1">
      <c r="F351" s="4"/>
      <c r="J351" s="4"/>
    </row>
    <row r="352" spans="6:10" ht="15.75" customHeight="1">
      <c r="F352" s="4"/>
      <c r="J352" s="4"/>
    </row>
    <row r="353" spans="6:10" ht="15.75" customHeight="1">
      <c r="F353" s="4"/>
      <c r="J353" s="4"/>
    </row>
    <row r="354" spans="6:10" ht="15.75" customHeight="1">
      <c r="F354" s="4"/>
      <c r="J354" s="4"/>
    </row>
    <row r="355" spans="6:10" ht="15.75" customHeight="1">
      <c r="F355" s="4"/>
      <c r="J355" s="4"/>
    </row>
    <row r="356" spans="6:10" ht="15.75" customHeight="1">
      <c r="F356" s="4"/>
      <c r="J356" s="4"/>
    </row>
    <row r="357" spans="6:10" ht="15.75" customHeight="1">
      <c r="F357" s="4"/>
      <c r="J357" s="4"/>
    </row>
    <row r="358" spans="6:10" ht="15.75" customHeight="1">
      <c r="F358" s="4"/>
      <c r="J358" s="4"/>
    </row>
    <row r="359" spans="6:10" ht="15.75" customHeight="1">
      <c r="F359" s="4"/>
      <c r="J359" s="4"/>
    </row>
    <row r="360" spans="6:10" ht="15.75" customHeight="1">
      <c r="F360" s="4"/>
      <c r="J360" s="4"/>
    </row>
    <row r="361" spans="6:10" ht="15.75" customHeight="1">
      <c r="F361" s="4"/>
      <c r="J361" s="4"/>
    </row>
    <row r="362" spans="6:10" ht="15.75" customHeight="1">
      <c r="F362" s="4"/>
      <c r="J362" s="4"/>
    </row>
    <row r="363" spans="6:10" ht="15.75" customHeight="1">
      <c r="F363" s="4"/>
      <c r="J363" s="4"/>
    </row>
    <row r="364" spans="6:10" ht="15.75" customHeight="1">
      <c r="F364" s="4"/>
      <c r="J364" s="4"/>
    </row>
    <row r="365" spans="6:10" ht="15.75" customHeight="1">
      <c r="F365" s="4"/>
      <c r="J365" s="4"/>
    </row>
    <row r="366" spans="6:10" ht="15.75" customHeight="1">
      <c r="F366" s="4"/>
      <c r="J366" s="4"/>
    </row>
    <row r="367" spans="6:10" ht="15.75" customHeight="1">
      <c r="F367" s="4"/>
      <c r="J367" s="4"/>
    </row>
    <row r="368" spans="6:10" ht="15.75" customHeight="1">
      <c r="F368" s="4"/>
      <c r="J368" s="4"/>
    </row>
    <row r="369" spans="6:10" ht="15.75" customHeight="1">
      <c r="F369" s="4"/>
      <c r="J369" s="4"/>
    </row>
    <row r="370" spans="6:10" ht="15.75" customHeight="1">
      <c r="F370" s="4"/>
      <c r="J370" s="4"/>
    </row>
    <row r="371" spans="6:10" ht="15.75" customHeight="1">
      <c r="F371" s="4"/>
      <c r="J371" s="4"/>
    </row>
    <row r="372" spans="6:10" ht="15.75" customHeight="1">
      <c r="F372" s="4"/>
      <c r="J372" s="4"/>
    </row>
    <row r="373" spans="6:10" ht="15.75" customHeight="1">
      <c r="F373" s="4"/>
      <c r="J373" s="4"/>
    </row>
    <row r="374" spans="6:10" ht="15.75" customHeight="1">
      <c r="F374" s="4"/>
      <c r="J374" s="4"/>
    </row>
    <row r="375" spans="6:10" ht="15.75" customHeight="1">
      <c r="F375" s="4"/>
      <c r="J375" s="4"/>
    </row>
    <row r="376" spans="6:10" ht="15.75" customHeight="1">
      <c r="F376" s="4"/>
      <c r="J376" s="4"/>
    </row>
    <row r="377" spans="6:10" ht="15.75" customHeight="1">
      <c r="F377" s="4"/>
      <c r="J377" s="4"/>
    </row>
    <row r="378" spans="6:10" ht="15.75" customHeight="1">
      <c r="F378" s="4"/>
      <c r="J378" s="4"/>
    </row>
    <row r="379" spans="6:10" ht="15.75" customHeight="1">
      <c r="F379" s="4"/>
      <c r="J379" s="4"/>
    </row>
    <row r="380" spans="6:10" ht="15.75" customHeight="1">
      <c r="F380" s="4"/>
      <c r="J380" s="4"/>
    </row>
    <row r="381" spans="6:10" ht="15.75" customHeight="1">
      <c r="F381" s="4"/>
      <c r="J381" s="4"/>
    </row>
    <row r="382" spans="6:10" ht="15.75" customHeight="1">
      <c r="F382" s="4"/>
      <c r="J382" s="4"/>
    </row>
    <row r="383" spans="6:10" ht="15.75" customHeight="1">
      <c r="F383" s="4"/>
      <c r="J383" s="4"/>
    </row>
    <row r="384" spans="6:10" ht="15.75" customHeight="1">
      <c r="F384" s="4"/>
      <c r="J384" s="4"/>
    </row>
    <row r="385" spans="6:10" ht="15.75" customHeight="1">
      <c r="F385" s="4"/>
      <c r="J385" s="4"/>
    </row>
    <row r="386" spans="6:10" ht="15.75" customHeight="1">
      <c r="F386" s="4"/>
      <c r="J386" s="4"/>
    </row>
    <row r="387" spans="6:10" ht="15.75" customHeight="1">
      <c r="F387" s="4"/>
      <c r="J387" s="4"/>
    </row>
    <row r="388" spans="6:10" ht="15.75" customHeight="1">
      <c r="F388" s="4"/>
      <c r="J388" s="4"/>
    </row>
    <row r="389" spans="6:10" ht="15.75" customHeight="1">
      <c r="F389" s="4"/>
      <c r="J389" s="4"/>
    </row>
    <row r="390" spans="6:10" ht="15.75" customHeight="1">
      <c r="F390" s="4"/>
      <c r="J390" s="4"/>
    </row>
    <row r="391" spans="6:10" ht="15.75" customHeight="1">
      <c r="F391" s="4"/>
      <c r="J391" s="4"/>
    </row>
    <row r="392" spans="6:10" ht="15.75" customHeight="1">
      <c r="F392" s="4"/>
      <c r="J392" s="4"/>
    </row>
    <row r="393" spans="6:10" ht="15.75" customHeight="1">
      <c r="F393" s="4"/>
      <c r="J393" s="4"/>
    </row>
    <row r="394" spans="6:10" ht="15.75" customHeight="1">
      <c r="F394" s="4"/>
      <c r="J394" s="4"/>
    </row>
    <row r="395" spans="6:10" ht="15.75" customHeight="1">
      <c r="F395" s="4"/>
      <c r="J395" s="4"/>
    </row>
    <row r="396" spans="6:10" ht="15.75" customHeight="1">
      <c r="F396" s="4"/>
      <c r="J396" s="4"/>
    </row>
    <row r="397" spans="6:10" ht="15.75" customHeight="1">
      <c r="F397" s="4"/>
      <c r="J397" s="4"/>
    </row>
    <row r="398" spans="6:10" ht="15.75" customHeight="1">
      <c r="F398" s="4"/>
      <c r="J398" s="4"/>
    </row>
    <row r="399" spans="6:10" ht="15.75" customHeight="1">
      <c r="F399" s="4"/>
      <c r="J399" s="4"/>
    </row>
    <row r="400" spans="6:10" ht="15.75" customHeight="1">
      <c r="F400" s="4"/>
      <c r="J400" s="4"/>
    </row>
    <row r="401" spans="6:10" ht="15.75" customHeight="1">
      <c r="F401" s="4"/>
      <c r="J401" s="4"/>
    </row>
    <row r="402" spans="6:10" ht="15.75" customHeight="1">
      <c r="F402" s="4"/>
      <c r="J402" s="4"/>
    </row>
    <row r="403" spans="6:10" ht="15.75" customHeight="1">
      <c r="F403" s="4"/>
      <c r="J403" s="4"/>
    </row>
    <row r="404" spans="6:10" ht="15.75" customHeight="1">
      <c r="F404" s="4"/>
      <c r="J404" s="4"/>
    </row>
    <row r="405" spans="6:10" ht="15.75" customHeight="1">
      <c r="F405" s="4"/>
      <c r="J405" s="4"/>
    </row>
    <row r="406" spans="6:10" ht="15.75" customHeight="1">
      <c r="F406" s="4"/>
      <c r="J406" s="4"/>
    </row>
    <row r="407" spans="6:10" ht="15.75" customHeight="1">
      <c r="F407" s="4"/>
      <c r="J407" s="4"/>
    </row>
    <row r="408" spans="6:10" ht="15.75" customHeight="1">
      <c r="F408" s="4"/>
      <c r="J408" s="4"/>
    </row>
    <row r="409" spans="6:10" ht="15.75" customHeight="1">
      <c r="F409" s="4"/>
      <c r="J409" s="4"/>
    </row>
    <row r="410" spans="6:10" ht="15.75" customHeight="1">
      <c r="F410" s="4"/>
      <c r="J410" s="4"/>
    </row>
    <row r="411" spans="6:10" ht="15.75" customHeight="1">
      <c r="F411" s="4"/>
      <c r="J411" s="4"/>
    </row>
    <row r="412" spans="6:10" ht="15.75" customHeight="1">
      <c r="F412" s="4"/>
      <c r="J412" s="4"/>
    </row>
    <row r="413" spans="6:10" ht="15.75" customHeight="1">
      <c r="F413" s="4"/>
      <c r="J413" s="4"/>
    </row>
    <row r="414" spans="6:10" ht="15.75" customHeight="1">
      <c r="F414" s="4"/>
      <c r="J414" s="4"/>
    </row>
    <row r="415" spans="6:10" ht="15.75" customHeight="1">
      <c r="F415" s="4"/>
      <c r="J415" s="4"/>
    </row>
    <row r="416" spans="6:10" ht="15.75" customHeight="1">
      <c r="F416" s="4"/>
      <c r="J416" s="4"/>
    </row>
    <row r="417" spans="6:10" ht="15.75" customHeight="1">
      <c r="F417" s="4"/>
      <c r="J417" s="4"/>
    </row>
    <row r="418" spans="6:10" ht="15.75" customHeight="1">
      <c r="F418" s="4"/>
      <c r="J418" s="4"/>
    </row>
    <row r="419" spans="6:10" ht="15.75" customHeight="1">
      <c r="F419" s="4"/>
      <c r="J419" s="4"/>
    </row>
    <row r="420" spans="6:10" ht="15.75" customHeight="1">
      <c r="F420" s="4"/>
      <c r="J420" s="4"/>
    </row>
    <row r="421" spans="6:10" ht="15.75" customHeight="1">
      <c r="F421" s="4"/>
      <c r="J421" s="4"/>
    </row>
    <row r="422" spans="6:10" ht="15.75" customHeight="1">
      <c r="F422" s="4"/>
      <c r="J422" s="4"/>
    </row>
    <row r="423" spans="6:10" ht="15.75" customHeight="1">
      <c r="F423" s="4"/>
      <c r="J423" s="4"/>
    </row>
    <row r="424" spans="6:10" ht="15.75" customHeight="1">
      <c r="F424" s="4"/>
      <c r="J424" s="4"/>
    </row>
    <row r="425" spans="6:10" ht="15.75" customHeight="1">
      <c r="F425" s="4"/>
      <c r="J425" s="4"/>
    </row>
    <row r="426" spans="6:10" ht="15.75" customHeight="1">
      <c r="F426" s="4"/>
      <c r="J426" s="4"/>
    </row>
    <row r="427" spans="6:10" ht="15.75" customHeight="1">
      <c r="F427" s="4"/>
      <c r="J427" s="4"/>
    </row>
    <row r="428" spans="6:10" ht="15.75" customHeight="1">
      <c r="F428" s="4"/>
      <c r="J428" s="4"/>
    </row>
    <row r="429" spans="6:10" ht="15.75" customHeight="1">
      <c r="F429" s="4"/>
      <c r="J429" s="4"/>
    </row>
    <row r="430" spans="6:10" ht="15.75" customHeight="1">
      <c r="F430" s="4"/>
      <c r="J430" s="4"/>
    </row>
    <row r="431" spans="6:10" ht="15.75" customHeight="1">
      <c r="F431" s="4"/>
      <c r="J431" s="4"/>
    </row>
    <row r="432" spans="6:10" ht="15.75" customHeight="1">
      <c r="F432" s="4"/>
      <c r="J432" s="4"/>
    </row>
    <row r="433" spans="6:10" ht="15.75" customHeight="1">
      <c r="F433" s="4"/>
      <c r="J433" s="4"/>
    </row>
    <row r="434" spans="6:10" ht="15.75" customHeight="1">
      <c r="F434" s="4"/>
      <c r="J434" s="4"/>
    </row>
    <row r="435" spans="6:10" ht="15.75" customHeight="1">
      <c r="F435" s="4"/>
      <c r="J435" s="4"/>
    </row>
    <row r="436" spans="6:10" ht="15.75" customHeight="1">
      <c r="F436" s="4"/>
      <c r="J436" s="4"/>
    </row>
    <row r="437" spans="6:10" ht="15.75" customHeight="1">
      <c r="F437" s="4"/>
      <c r="J437" s="4"/>
    </row>
    <row r="438" spans="6:10" ht="15.75" customHeight="1">
      <c r="F438" s="4"/>
      <c r="J438" s="4"/>
    </row>
    <row r="439" spans="6:10" ht="15.75" customHeight="1">
      <c r="F439" s="4"/>
      <c r="J439" s="4"/>
    </row>
    <row r="440" spans="6:10" ht="15.75" customHeight="1">
      <c r="F440" s="4"/>
      <c r="J440" s="4"/>
    </row>
    <row r="441" spans="6:10" ht="15.75" customHeight="1">
      <c r="F441" s="4"/>
      <c r="J441" s="4"/>
    </row>
    <row r="442" spans="6:10" ht="15.75" customHeight="1">
      <c r="F442" s="4"/>
      <c r="J442" s="4"/>
    </row>
    <row r="443" spans="6:10" ht="15.75" customHeight="1">
      <c r="F443" s="4"/>
      <c r="J443" s="4"/>
    </row>
    <row r="444" spans="6:10" ht="15.75" customHeight="1">
      <c r="F444" s="4"/>
      <c r="J444" s="4"/>
    </row>
    <row r="445" spans="6:10" ht="15.75" customHeight="1">
      <c r="F445" s="4"/>
      <c r="J445" s="4"/>
    </row>
    <row r="446" spans="6:10" ht="15.75" customHeight="1">
      <c r="F446" s="4"/>
      <c r="J446" s="4"/>
    </row>
    <row r="447" spans="6:10" ht="15.75" customHeight="1">
      <c r="F447" s="4"/>
      <c r="J447" s="4"/>
    </row>
    <row r="448" spans="6:10" ht="15.75" customHeight="1">
      <c r="F448" s="4"/>
      <c r="J448" s="4"/>
    </row>
    <row r="449" spans="6:10" ht="15.75" customHeight="1">
      <c r="F449" s="4"/>
      <c r="J449" s="4"/>
    </row>
    <row r="450" spans="6:10" ht="15.75" customHeight="1">
      <c r="F450" s="4"/>
      <c r="J450" s="4"/>
    </row>
    <row r="451" spans="6:10" ht="15.75" customHeight="1">
      <c r="F451" s="4"/>
      <c r="J451" s="4"/>
    </row>
    <row r="452" spans="6:10" ht="15.75" customHeight="1">
      <c r="F452" s="4"/>
      <c r="J452" s="4"/>
    </row>
    <row r="453" spans="6:10" ht="15.75" customHeight="1">
      <c r="F453" s="4"/>
      <c r="J453" s="4"/>
    </row>
    <row r="454" spans="6:10" ht="15.75" customHeight="1">
      <c r="F454" s="4"/>
      <c r="J454" s="4"/>
    </row>
    <row r="455" spans="6:10" ht="15.75" customHeight="1">
      <c r="F455" s="4"/>
      <c r="J455" s="4"/>
    </row>
    <row r="456" spans="6:10" ht="15.75" customHeight="1">
      <c r="F456" s="4"/>
      <c r="J456" s="4"/>
    </row>
    <row r="457" spans="6:10" ht="15.75" customHeight="1">
      <c r="F457" s="4"/>
      <c r="J457" s="4"/>
    </row>
    <row r="458" spans="6:10" ht="15.75" customHeight="1">
      <c r="F458" s="4"/>
      <c r="J458" s="4"/>
    </row>
    <row r="459" spans="6:10" ht="15.75" customHeight="1">
      <c r="F459" s="4"/>
      <c r="J459" s="4"/>
    </row>
    <row r="460" spans="6:10" ht="15.75" customHeight="1">
      <c r="F460" s="4"/>
      <c r="J460" s="4"/>
    </row>
    <row r="461" spans="6:10" ht="15.75" customHeight="1">
      <c r="F461" s="4"/>
      <c r="J461" s="4"/>
    </row>
    <row r="462" spans="6:10" ht="15.75" customHeight="1">
      <c r="F462" s="4"/>
      <c r="J462" s="4"/>
    </row>
    <row r="463" spans="6:10" ht="15.75" customHeight="1">
      <c r="F463" s="4"/>
      <c r="J463" s="4"/>
    </row>
    <row r="464" spans="6:10" ht="15.75" customHeight="1">
      <c r="F464" s="4"/>
      <c r="J464" s="4"/>
    </row>
    <row r="465" spans="6:10" ht="15.75" customHeight="1">
      <c r="F465" s="4"/>
      <c r="J465" s="4"/>
    </row>
    <row r="466" spans="6:10" ht="15.75" customHeight="1">
      <c r="F466" s="4"/>
      <c r="J466" s="4"/>
    </row>
    <row r="467" spans="6:10" ht="15.75" customHeight="1">
      <c r="F467" s="4"/>
      <c r="J467" s="4"/>
    </row>
    <row r="468" spans="6:10" ht="15.75" customHeight="1">
      <c r="F468" s="4"/>
      <c r="J468" s="4"/>
    </row>
    <row r="469" spans="6:10" ht="15.75" customHeight="1">
      <c r="F469" s="4"/>
      <c r="J469" s="4"/>
    </row>
    <row r="470" spans="6:10" ht="15.75" customHeight="1">
      <c r="F470" s="4"/>
      <c r="J470" s="4"/>
    </row>
    <row r="471" spans="6:10" ht="15.75" customHeight="1">
      <c r="F471" s="4"/>
      <c r="J471" s="4"/>
    </row>
    <row r="472" spans="6:10" ht="15.75" customHeight="1">
      <c r="F472" s="4"/>
      <c r="J472" s="4"/>
    </row>
    <row r="473" spans="6:10" ht="15.75" customHeight="1">
      <c r="F473" s="4"/>
      <c r="J473" s="4"/>
    </row>
    <row r="474" spans="6:10" ht="15.75" customHeight="1">
      <c r="F474" s="4"/>
      <c r="J474" s="4"/>
    </row>
    <row r="475" spans="6:10" ht="15.75" customHeight="1">
      <c r="F475" s="4"/>
      <c r="J475" s="4"/>
    </row>
    <row r="476" spans="6:10" ht="15.75" customHeight="1">
      <c r="F476" s="4"/>
      <c r="J476" s="4"/>
    </row>
    <row r="477" spans="6:10" ht="15.75" customHeight="1">
      <c r="F477" s="4"/>
      <c r="J477" s="4"/>
    </row>
    <row r="478" spans="6:10" ht="15.75" customHeight="1">
      <c r="F478" s="4"/>
      <c r="J478" s="4"/>
    </row>
    <row r="479" spans="6:10" ht="15.75" customHeight="1">
      <c r="F479" s="4"/>
      <c r="J479" s="4"/>
    </row>
    <row r="480" spans="6:10" ht="15.75" customHeight="1">
      <c r="F480" s="4"/>
      <c r="J480" s="4"/>
    </row>
    <row r="481" spans="6:10" ht="15.75" customHeight="1">
      <c r="F481" s="4"/>
      <c r="J481" s="4"/>
    </row>
    <row r="482" spans="6:10" ht="15.75" customHeight="1">
      <c r="F482" s="4"/>
      <c r="J482" s="4"/>
    </row>
    <row r="483" spans="6:10" ht="15.75" customHeight="1">
      <c r="F483" s="4"/>
      <c r="J483" s="4"/>
    </row>
    <row r="484" spans="6:10" ht="15.75" customHeight="1">
      <c r="F484" s="4"/>
      <c r="J484" s="4"/>
    </row>
    <row r="485" spans="6:10" ht="15.75" customHeight="1">
      <c r="F485" s="4"/>
      <c r="J485" s="4"/>
    </row>
    <row r="486" spans="6:10" ht="15.75" customHeight="1">
      <c r="F486" s="4"/>
      <c r="J486" s="4"/>
    </row>
    <row r="487" spans="6:10" ht="15.75" customHeight="1">
      <c r="F487" s="4"/>
      <c r="J487" s="4"/>
    </row>
    <row r="488" spans="6:10" ht="15.75" customHeight="1">
      <c r="F488" s="4"/>
      <c r="J488" s="4"/>
    </row>
    <row r="489" spans="6:10" ht="15.75" customHeight="1">
      <c r="F489" s="4"/>
      <c r="J489" s="4"/>
    </row>
    <row r="490" spans="6:10" ht="15.75" customHeight="1">
      <c r="F490" s="4"/>
      <c r="J490" s="4"/>
    </row>
    <row r="491" spans="6:10" ht="15.75" customHeight="1">
      <c r="F491" s="4"/>
      <c r="J491" s="4"/>
    </row>
    <row r="492" spans="6:10" ht="15.75" customHeight="1">
      <c r="F492" s="4"/>
      <c r="J492" s="4"/>
    </row>
    <row r="493" spans="6:10" ht="15.75" customHeight="1">
      <c r="F493" s="4"/>
      <c r="J493" s="4"/>
    </row>
    <row r="494" spans="6:10" ht="15.75" customHeight="1">
      <c r="F494" s="4"/>
      <c r="J494" s="4"/>
    </row>
    <row r="495" spans="6:10" ht="15.75" customHeight="1">
      <c r="F495" s="4"/>
      <c r="J495" s="4"/>
    </row>
    <row r="496" spans="6:10" ht="15.75" customHeight="1">
      <c r="F496" s="4"/>
      <c r="J496" s="4"/>
    </row>
    <row r="497" spans="6:10" ht="15.75" customHeight="1">
      <c r="F497" s="4"/>
      <c r="J497" s="4"/>
    </row>
    <row r="498" spans="6:10" ht="15.75" customHeight="1">
      <c r="F498" s="4"/>
      <c r="J498" s="4"/>
    </row>
    <row r="499" spans="6:10" ht="15.75" customHeight="1">
      <c r="F499" s="4"/>
      <c r="J499" s="4"/>
    </row>
    <row r="500" spans="6:10" ht="15.75" customHeight="1">
      <c r="F500" s="4"/>
      <c r="J500" s="4"/>
    </row>
    <row r="501" spans="6:10" ht="15.75" customHeight="1">
      <c r="F501" s="4"/>
      <c r="J501" s="4"/>
    </row>
    <row r="502" spans="6:10" ht="15.75" customHeight="1">
      <c r="F502" s="4"/>
      <c r="J502" s="4"/>
    </row>
    <row r="503" spans="6:10" ht="15.75" customHeight="1">
      <c r="F503" s="4"/>
      <c r="J503" s="4"/>
    </row>
    <row r="504" spans="6:10" ht="15.75" customHeight="1">
      <c r="F504" s="4"/>
      <c r="J504" s="4"/>
    </row>
    <row r="505" spans="6:10" ht="15.75" customHeight="1">
      <c r="F505" s="4"/>
      <c r="J505" s="4"/>
    </row>
    <row r="506" spans="6:10" ht="15.75" customHeight="1">
      <c r="F506" s="4"/>
      <c r="J506" s="4"/>
    </row>
    <row r="507" spans="6:10" ht="15.75" customHeight="1">
      <c r="F507" s="4"/>
      <c r="J507" s="4"/>
    </row>
    <row r="508" spans="6:10" ht="15.75" customHeight="1">
      <c r="F508" s="4"/>
      <c r="J508" s="4"/>
    </row>
    <row r="509" spans="6:10" ht="15.75" customHeight="1">
      <c r="F509" s="4"/>
      <c r="J509" s="4"/>
    </row>
    <row r="510" spans="6:10" ht="15.75" customHeight="1">
      <c r="F510" s="4"/>
      <c r="J510" s="4"/>
    </row>
    <row r="511" spans="6:10" ht="15.75" customHeight="1">
      <c r="F511" s="4"/>
      <c r="J511" s="4"/>
    </row>
    <row r="512" spans="6:10" ht="15.75" customHeight="1">
      <c r="F512" s="4"/>
      <c r="J512" s="4"/>
    </row>
    <row r="513" spans="6:10" ht="15.75" customHeight="1">
      <c r="F513" s="4"/>
      <c r="J513" s="4"/>
    </row>
    <row r="514" spans="6:10" ht="15.75" customHeight="1">
      <c r="F514" s="4"/>
      <c r="J514" s="4"/>
    </row>
    <row r="515" spans="6:10" ht="15.75" customHeight="1">
      <c r="F515" s="4"/>
      <c r="J515" s="4"/>
    </row>
    <row r="516" spans="6:10" ht="15.75" customHeight="1">
      <c r="F516" s="4"/>
      <c r="J516" s="4"/>
    </row>
    <row r="517" spans="6:10" ht="15.75" customHeight="1">
      <c r="F517" s="4"/>
      <c r="J517" s="4"/>
    </row>
    <row r="518" spans="6:10" ht="15.75" customHeight="1">
      <c r="F518" s="4"/>
      <c r="J518" s="4"/>
    </row>
    <row r="519" spans="6:10" ht="15.75" customHeight="1">
      <c r="F519" s="4"/>
      <c r="J519" s="4"/>
    </row>
    <row r="520" spans="6:10" ht="15.75" customHeight="1">
      <c r="F520" s="4"/>
      <c r="J520" s="4"/>
    </row>
    <row r="521" spans="6:10" ht="15.75" customHeight="1">
      <c r="F521" s="4"/>
      <c r="J521" s="4"/>
    </row>
    <row r="522" spans="6:10" ht="15.75" customHeight="1">
      <c r="F522" s="4"/>
      <c r="J522" s="4"/>
    </row>
    <row r="523" spans="6:10" ht="15.75" customHeight="1">
      <c r="F523" s="4"/>
      <c r="J523" s="4"/>
    </row>
    <row r="524" spans="6:10" ht="15.75" customHeight="1">
      <c r="F524" s="4"/>
      <c r="J524" s="4"/>
    </row>
    <row r="525" spans="6:10" ht="15.75" customHeight="1">
      <c r="F525" s="4"/>
      <c r="J525" s="4"/>
    </row>
    <row r="526" spans="6:10" ht="15.75" customHeight="1">
      <c r="F526" s="4"/>
      <c r="J526" s="4"/>
    </row>
    <row r="527" spans="6:10" ht="15.75" customHeight="1">
      <c r="F527" s="4"/>
      <c r="J527" s="4"/>
    </row>
    <row r="528" spans="6:10" ht="15.75" customHeight="1">
      <c r="F528" s="4"/>
      <c r="J528" s="4"/>
    </row>
    <row r="529" spans="6:10" ht="15.75" customHeight="1">
      <c r="F529" s="4"/>
      <c r="J529" s="4"/>
    </row>
    <row r="530" spans="6:10" ht="15.75" customHeight="1">
      <c r="F530" s="4"/>
      <c r="J530" s="4"/>
    </row>
    <row r="531" spans="6:10" ht="15.75" customHeight="1">
      <c r="F531" s="4"/>
      <c r="J531" s="4"/>
    </row>
    <row r="532" spans="6:10" ht="15.75" customHeight="1">
      <c r="F532" s="4"/>
      <c r="J532" s="4"/>
    </row>
    <row r="533" spans="6:10" ht="15.75" customHeight="1">
      <c r="F533" s="4"/>
      <c r="J533" s="4"/>
    </row>
    <row r="534" spans="6:10" ht="15.75" customHeight="1">
      <c r="F534" s="4"/>
      <c r="J534" s="4"/>
    </row>
    <row r="535" spans="6:10" ht="15.75" customHeight="1">
      <c r="F535" s="4"/>
      <c r="J535" s="4"/>
    </row>
    <row r="536" spans="6:10" ht="15.75" customHeight="1">
      <c r="F536" s="4"/>
      <c r="J536" s="4"/>
    </row>
    <row r="537" spans="6:10" ht="15.75" customHeight="1">
      <c r="F537" s="4"/>
      <c r="J537" s="4"/>
    </row>
    <row r="538" spans="6:10" ht="15.75" customHeight="1">
      <c r="F538" s="4"/>
      <c r="J538" s="4"/>
    </row>
    <row r="539" spans="6:10" ht="15.75" customHeight="1">
      <c r="F539" s="4"/>
      <c r="J539" s="4"/>
    </row>
    <row r="540" spans="6:10" ht="15.75" customHeight="1">
      <c r="F540" s="4"/>
      <c r="J540" s="4"/>
    </row>
    <row r="541" spans="6:10" ht="15.75" customHeight="1">
      <c r="F541" s="4"/>
      <c r="J541" s="4"/>
    </row>
    <row r="542" spans="6:10" ht="15.75" customHeight="1">
      <c r="F542" s="4"/>
      <c r="J542" s="4"/>
    </row>
    <row r="543" spans="6:10" ht="15.75" customHeight="1">
      <c r="F543" s="4"/>
      <c r="J543" s="4"/>
    </row>
    <row r="544" spans="6:10" ht="15.75" customHeight="1">
      <c r="F544" s="4"/>
      <c r="J544" s="4"/>
    </row>
    <row r="545" spans="6:10" ht="15.75" customHeight="1">
      <c r="F545" s="4"/>
      <c r="J545" s="4"/>
    </row>
    <row r="546" spans="6:10" ht="15.75" customHeight="1">
      <c r="F546" s="4"/>
      <c r="J546" s="4"/>
    </row>
    <row r="547" spans="6:10" ht="15.75" customHeight="1">
      <c r="F547" s="4"/>
      <c r="J547" s="4"/>
    </row>
    <row r="548" spans="6:10" ht="15.75" customHeight="1">
      <c r="F548" s="4"/>
      <c r="J548" s="4"/>
    </row>
    <row r="549" spans="6:10" ht="15.75" customHeight="1">
      <c r="F549" s="4"/>
      <c r="J549" s="4"/>
    </row>
    <row r="550" spans="6:10" ht="15.75" customHeight="1">
      <c r="F550" s="4"/>
      <c r="J550" s="4"/>
    </row>
    <row r="551" spans="6:10" ht="15.75" customHeight="1">
      <c r="F551" s="4"/>
      <c r="J551" s="4"/>
    </row>
    <row r="552" spans="6:10" ht="15.75" customHeight="1">
      <c r="F552" s="4"/>
      <c r="J552" s="4"/>
    </row>
    <row r="553" spans="6:10" ht="15.75" customHeight="1">
      <c r="F553" s="4"/>
      <c r="J553" s="4"/>
    </row>
    <row r="554" spans="6:10" ht="15.75" customHeight="1">
      <c r="F554" s="4"/>
      <c r="J554" s="4"/>
    </row>
    <row r="555" spans="6:10" ht="15.75" customHeight="1">
      <c r="F555" s="4"/>
      <c r="J555" s="4"/>
    </row>
    <row r="556" spans="6:10" ht="15.75" customHeight="1">
      <c r="F556" s="4"/>
      <c r="J556" s="4"/>
    </row>
    <row r="557" spans="6:10" ht="15.75" customHeight="1">
      <c r="F557" s="4"/>
      <c r="J557" s="4"/>
    </row>
    <row r="558" spans="6:10" ht="15.75" customHeight="1">
      <c r="F558" s="4"/>
      <c r="J558" s="4"/>
    </row>
    <row r="559" spans="6:10" ht="15.75" customHeight="1">
      <c r="F559" s="4"/>
      <c r="J559" s="4"/>
    </row>
    <row r="560" spans="6:10" ht="15.75" customHeight="1">
      <c r="F560" s="4"/>
      <c r="J560" s="4"/>
    </row>
    <row r="561" spans="6:10" ht="15.75" customHeight="1">
      <c r="F561" s="4"/>
      <c r="J561" s="4"/>
    </row>
    <row r="562" spans="6:10" ht="15.75" customHeight="1">
      <c r="F562" s="4"/>
      <c r="J562" s="4"/>
    </row>
    <row r="563" spans="6:10" ht="15.75" customHeight="1">
      <c r="F563" s="4"/>
      <c r="J563" s="4"/>
    </row>
    <row r="564" spans="6:10" ht="15.75" customHeight="1">
      <c r="F564" s="4"/>
      <c r="J564" s="4"/>
    </row>
    <row r="565" spans="6:10" ht="15.75" customHeight="1">
      <c r="F565" s="4"/>
      <c r="J565" s="4"/>
    </row>
    <row r="566" spans="6:10" ht="15.75" customHeight="1">
      <c r="F566" s="4"/>
      <c r="J566" s="4"/>
    </row>
    <row r="567" spans="6:10" ht="15.75" customHeight="1">
      <c r="F567" s="4"/>
      <c r="J567" s="4"/>
    </row>
    <row r="568" spans="6:10" ht="15.75" customHeight="1">
      <c r="F568" s="4"/>
      <c r="J568" s="4"/>
    </row>
    <row r="569" spans="6:10" ht="15.75" customHeight="1">
      <c r="F569" s="4"/>
      <c r="J569" s="4"/>
    </row>
    <row r="570" spans="6:10" ht="15.75" customHeight="1">
      <c r="F570" s="4"/>
      <c r="J570" s="4"/>
    </row>
    <row r="571" spans="6:10" ht="15.75" customHeight="1">
      <c r="F571" s="4"/>
      <c r="J571" s="4"/>
    </row>
    <row r="572" spans="6:10" ht="15.75" customHeight="1">
      <c r="F572" s="4"/>
      <c r="J572" s="4"/>
    </row>
    <row r="573" spans="6:10" ht="15.75" customHeight="1">
      <c r="F573" s="4"/>
      <c r="J573" s="4"/>
    </row>
    <row r="574" spans="6:10" ht="15.75" customHeight="1">
      <c r="F574" s="4"/>
      <c r="J574" s="4"/>
    </row>
    <row r="575" spans="6:10" ht="15.75" customHeight="1">
      <c r="F575" s="4"/>
      <c r="J575" s="4"/>
    </row>
    <row r="576" spans="6:10" ht="15.75" customHeight="1">
      <c r="F576" s="4"/>
      <c r="J576" s="4"/>
    </row>
    <row r="577" spans="6:10" ht="15.75" customHeight="1">
      <c r="F577" s="4"/>
      <c r="J577" s="4"/>
    </row>
    <row r="578" spans="6:10" ht="15.75" customHeight="1">
      <c r="F578" s="4"/>
      <c r="J578" s="4"/>
    </row>
    <row r="579" spans="6:10" ht="15.75" customHeight="1">
      <c r="F579" s="4"/>
      <c r="J579" s="4"/>
    </row>
    <row r="580" spans="6:10" ht="15.75" customHeight="1">
      <c r="F580" s="4"/>
      <c r="J580" s="4"/>
    </row>
    <row r="581" spans="6:10" ht="15.75" customHeight="1">
      <c r="F581" s="4"/>
      <c r="J581" s="4"/>
    </row>
    <row r="582" spans="6:10" ht="15.75" customHeight="1">
      <c r="F582" s="4"/>
      <c r="J582" s="4"/>
    </row>
    <row r="583" spans="6:10" ht="15.75" customHeight="1">
      <c r="F583" s="4"/>
      <c r="J583" s="4"/>
    </row>
    <row r="584" spans="6:10" ht="15.75" customHeight="1">
      <c r="F584" s="4"/>
      <c r="J584" s="4"/>
    </row>
    <row r="585" spans="6:10" ht="15.75" customHeight="1">
      <c r="F585" s="4"/>
      <c r="J585" s="4"/>
    </row>
    <row r="586" spans="6:10" ht="15.75" customHeight="1">
      <c r="F586" s="4"/>
      <c r="J586" s="4"/>
    </row>
    <row r="587" spans="6:10" ht="15.75" customHeight="1">
      <c r="F587" s="4"/>
      <c r="J587" s="4"/>
    </row>
    <row r="588" spans="6:10" ht="15.75" customHeight="1">
      <c r="F588" s="4"/>
      <c r="J588" s="4"/>
    </row>
    <row r="589" spans="6:10" ht="15.75" customHeight="1">
      <c r="F589" s="4"/>
      <c r="J589" s="4"/>
    </row>
    <row r="590" spans="6:10" ht="15.75" customHeight="1">
      <c r="F590" s="4"/>
      <c r="J590" s="4"/>
    </row>
    <row r="591" spans="6:10" ht="15.75" customHeight="1">
      <c r="F591" s="4"/>
      <c r="J591" s="4"/>
    </row>
    <row r="592" spans="6:10" ht="15.75" customHeight="1">
      <c r="F592" s="4"/>
      <c r="J592" s="4"/>
    </row>
    <row r="593" spans="6:10" ht="15.75" customHeight="1">
      <c r="F593" s="4"/>
      <c r="J593" s="4"/>
    </row>
    <row r="594" spans="6:10" ht="15.75" customHeight="1">
      <c r="F594" s="4"/>
      <c r="J594" s="4"/>
    </row>
    <row r="595" spans="6:10" ht="15.75" customHeight="1">
      <c r="F595" s="4"/>
      <c r="J595" s="4"/>
    </row>
    <row r="596" spans="6:10" ht="15.75" customHeight="1">
      <c r="F596" s="4"/>
      <c r="J596" s="4"/>
    </row>
    <row r="597" spans="6:10" ht="15.75" customHeight="1">
      <c r="F597" s="4"/>
      <c r="J597" s="4"/>
    </row>
    <row r="598" spans="6:10" ht="15.75" customHeight="1">
      <c r="F598" s="4"/>
      <c r="J598" s="4"/>
    </row>
    <row r="599" spans="6:10" ht="15.75" customHeight="1">
      <c r="F599" s="4"/>
      <c r="J599" s="4"/>
    </row>
    <row r="600" spans="6:10" ht="15.75" customHeight="1">
      <c r="F600" s="4"/>
      <c r="J600" s="4"/>
    </row>
    <row r="601" spans="6:10" ht="15.75" customHeight="1">
      <c r="F601" s="4"/>
      <c r="J601" s="4"/>
    </row>
    <row r="602" spans="6:10" ht="15.75" customHeight="1">
      <c r="F602" s="4"/>
      <c r="J602" s="4"/>
    </row>
    <row r="603" spans="6:10" ht="15.75" customHeight="1">
      <c r="F603" s="4"/>
      <c r="J603" s="4"/>
    </row>
    <row r="604" spans="6:10" ht="15.75" customHeight="1">
      <c r="F604" s="4"/>
      <c r="J604" s="4"/>
    </row>
    <row r="605" spans="6:10" ht="15.75" customHeight="1">
      <c r="F605" s="4"/>
      <c r="J605" s="4"/>
    </row>
    <row r="606" spans="6:10" ht="15.75" customHeight="1">
      <c r="F606" s="4"/>
      <c r="J606" s="4"/>
    </row>
    <row r="607" spans="6:10" ht="15.75" customHeight="1">
      <c r="F607" s="4"/>
      <c r="J607" s="4"/>
    </row>
    <row r="608" spans="6:10" ht="15.75" customHeight="1">
      <c r="F608" s="4"/>
      <c r="J608" s="4"/>
    </row>
    <row r="609" spans="6:10" ht="15.75" customHeight="1">
      <c r="F609" s="4"/>
      <c r="J609" s="4"/>
    </row>
    <row r="610" spans="6:10" ht="15.75" customHeight="1">
      <c r="F610" s="4"/>
      <c r="J610" s="4"/>
    </row>
    <row r="611" spans="6:10" ht="15.75" customHeight="1">
      <c r="F611" s="4"/>
      <c r="J611" s="4"/>
    </row>
    <row r="612" spans="6:10" ht="15.75" customHeight="1">
      <c r="F612" s="4"/>
      <c r="J612" s="4"/>
    </row>
    <row r="613" spans="6:10" ht="15.75" customHeight="1">
      <c r="F613" s="4"/>
      <c r="J613" s="4"/>
    </row>
    <row r="614" spans="6:10" ht="15.75" customHeight="1">
      <c r="F614" s="4"/>
      <c r="J614" s="4"/>
    </row>
    <row r="615" spans="6:10" ht="15.75" customHeight="1">
      <c r="F615" s="4"/>
      <c r="J615" s="4"/>
    </row>
    <row r="616" spans="6:10" ht="15.75" customHeight="1">
      <c r="F616" s="4"/>
      <c r="J616" s="4"/>
    </row>
    <row r="617" spans="6:10" ht="15.75" customHeight="1">
      <c r="F617" s="4"/>
      <c r="J617" s="4"/>
    </row>
    <row r="618" spans="6:10" ht="15.75" customHeight="1">
      <c r="F618" s="4"/>
      <c r="J618" s="4"/>
    </row>
    <row r="619" spans="6:10" ht="15.75" customHeight="1">
      <c r="F619" s="4"/>
      <c r="J619" s="4"/>
    </row>
    <row r="620" spans="6:10" ht="15.75" customHeight="1">
      <c r="F620" s="4"/>
      <c r="J620" s="4"/>
    </row>
    <row r="621" spans="6:10" ht="15.75" customHeight="1">
      <c r="F621" s="4"/>
      <c r="J621" s="4"/>
    </row>
    <row r="622" spans="6:10" ht="15.75" customHeight="1">
      <c r="F622" s="4"/>
      <c r="J622" s="4"/>
    </row>
    <row r="623" spans="6:10" ht="15.75" customHeight="1">
      <c r="F623" s="4"/>
      <c r="J623" s="4"/>
    </row>
    <row r="624" spans="6:10" ht="15.75" customHeight="1">
      <c r="F624" s="4"/>
      <c r="J624" s="4"/>
    </row>
    <row r="625" spans="6:10" ht="15.75" customHeight="1">
      <c r="F625" s="4"/>
      <c r="J625" s="4"/>
    </row>
    <row r="626" spans="6:10" ht="15.75" customHeight="1">
      <c r="F626" s="4"/>
      <c r="J626" s="4"/>
    </row>
    <row r="627" spans="6:10" ht="15.75" customHeight="1">
      <c r="F627" s="4"/>
      <c r="J627" s="4"/>
    </row>
    <row r="628" spans="6:10" ht="15.75" customHeight="1">
      <c r="F628" s="4"/>
      <c r="J628" s="4"/>
    </row>
    <row r="629" spans="6:10" ht="15.75" customHeight="1">
      <c r="F629" s="4"/>
      <c r="J629" s="4"/>
    </row>
    <row r="630" spans="6:10" ht="15.75" customHeight="1">
      <c r="F630" s="4"/>
      <c r="J630" s="4"/>
    </row>
    <row r="631" spans="6:10" ht="15.75" customHeight="1">
      <c r="F631" s="4"/>
      <c r="J631" s="4"/>
    </row>
    <row r="632" spans="6:10" ht="15.75" customHeight="1">
      <c r="F632" s="4"/>
      <c r="J632" s="4"/>
    </row>
    <row r="633" spans="6:10" ht="15.75" customHeight="1">
      <c r="F633" s="4"/>
      <c r="J633" s="4"/>
    </row>
    <row r="634" spans="6:10" ht="15.75" customHeight="1">
      <c r="F634" s="4"/>
      <c r="J634" s="4"/>
    </row>
    <row r="635" spans="6:10" ht="15.75" customHeight="1">
      <c r="F635" s="4"/>
      <c r="J635" s="4"/>
    </row>
    <row r="636" spans="6:10" ht="15.75" customHeight="1">
      <c r="F636" s="4"/>
      <c r="J636" s="4"/>
    </row>
    <row r="637" spans="6:10" ht="15.75" customHeight="1">
      <c r="F637" s="4"/>
      <c r="J637" s="4"/>
    </row>
    <row r="638" spans="6:10" ht="15.75" customHeight="1">
      <c r="F638" s="4"/>
      <c r="J638" s="4"/>
    </row>
    <row r="639" spans="6:10" ht="15.75" customHeight="1">
      <c r="F639" s="4"/>
      <c r="J639" s="4"/>
    </row>
    <row r="640" spans="6:10" ht="15.75" customHeight="1">
      <c r="F640" s="4"/>
      <c r="J640" s="4"/>
    </row>
    <row r="641" spans="6:10" ht="15.75" customHeight="1">
      <c r="F641" s="4"/>
      <c r="J641" s="4"/>
    </row>
    <row r="642" spans="6:10" ht="15.75" customHeight="1">
      <c r="F642" s="4"/>
      <c r="J642" s="4"/>
    </row>
    <row r="643" spans="6:10" ht="15.75" customHeight="1">
      <c r="F643" s="4"/>
      <c r="J643" s="4"/>
    </row>
    <row r="644" spans="6:10" ht="15.75" customHeight="1">
      <c r="F644" s="4"/>
      <c r="J644" s="4"/>
    </row>
    <row r="645" spans="6:10" ht="15.75" customHeight="1">
      <c r="F645" s="4"/>
      <c r="J645" s="4"/>
    </row>
    <row r="646" spans="6:10" ht="15.75" customHeight="1">
      <c r="F646" s="4"/>
      <c r="J646" s="4"/>
    </row>
    <row r="647" spans="6:10" ht="15.75" customHeight="1">
      <c r="F647" s="4"/>
      <c r="J647" s="4"/>
    </row>
    <row r="648" spans="6:10" ht="15.75" customHeight="1">
      <c r="F648" s="4"/>
      <c r="J648" s="4"/>
    </row>
    <row r="649" spans="6:10" ht="15.75" customHeight="1">
      <c r="F649" s="4"/>
      <c r="J649" s="4"/>
    </row>
    <row r="650" spans="6:10" ht="15.75" customHeight="1">
      <c r="F650" s="4"/>
      <c r="J650" s="4"/>
    </row>
    <row r="651" spans="6:10" ht="15.75" customHeight="1">
      <c r="F651" s="4"/>
      <c r="J651" s="4"/>
    </row>
    <row r="652" spans="6:10" ht="15.75" customHeight="1">
      <c r="F652" s="4"/>
      <c r="J652" s="4"/>
    </row>
    <row r="653" spans="6:10" ht="15.75" customHeight="1">
      <c r="F653" s="4"/>
      <c r="J653" s="4"/>
    </row>
    <row r="654" spans="6:10" ht="15.75" customHeight="1">
      <c r="F654" s="4"/>
      <c r="J654" s="4"/>
    </row>
    <row r="655" spans="6:10" ht="15.75" customHeight="1">
      <c r="F655" s="4"/>
      <c r="J655" s="4"/>
    </row>
    <row r="656" spans="6:10" ht="15.75" customHeight="1">
      <c r="F656" s="4"/>
      <c r="J656" s="4"/>
    </row>
    <row r="657" spans="6:10" ht="15.75" customHeight="1">
      <c r="F657" s="4"/>
      <c r="J657" s="4"/>
    </row>
    <row r="658" spans="6:10" ht="15.75" customHeight="1">
      <c r="F658" s="4"/>
      <c r="J658" s="4"/>
    </row>
    <row r="659" spans="6:10" ht="15.75" customHeight="1">
      <c r="F659" s="4"/>
      <c r="J659" s="4"/>
    </row>
    <row r="660" spans="6:10" ht="15.75" customHeight="1">
      <c r="F660" s="4"/>
      <c r="J660" s="4"/>
    </row>
    <row r="661" spans="6:10" ht="15.75" customHeight="1">
      <c r="F661" s="4"/>
      <c r="J661" s="4"/>
    </row>
    <row r="662" spans="6:10" ht="15.75" customHeight="1">
      <c r="F662" s="4"/>
      <c r="J662" s="4"/>
    </row>
    <row r="663" spans="6:10" ht="15.75" customHeight="1">
      <c r="F663" s="4"/>
      <c r="J663" s="4"/>
    </row>
    <row r="664" spans="6:10" ht="15.75" customHeight="1">
      <c r="F664" s="4"/>
      <c r="J664" s="4"/>
    </row>
    <row r="665" spans="6:10" ht="15.75" customHeight="1">
      <c r="F665" s="4"/>
      <c r="J665" s="4"/>
    </row>
    <row r="666" spans="6:10" ht="15.75" customHeight="1">
      <c r="F666" s="4"/>
      <c r="J666" s="4"/>
    </row>
    <row r="667" spans="6:10" ht="15.75" customHeight="1">
      <c r="F667" s="4"/>
      <c r="J667" s="4"/>
    </row>
    <row r="668" spans="6:10" ht="15.75" customHeight="1">
      <c r="F668" s="4"/>
      <c r="J668" s="4"/>
    </row>
    <row r="669" spans="6:10" ht="15.75" customHeight="1">
      <c r="F669" s="4"/>
      <c r="J669" s="4"/>
    </row>
    <row r="670" spans="6:10" ht="15.75" customHeight="1">
      <c r="F670" s="4"/>
      <c r="J670" s="4"/>
    </row>
    <row r="671" spans="6:10" ht="15.75" customHeight="1">
      <c r="F671" s="4"/>
      <c r="J671" s="4"/>
    </row>
    <row r="672" spans="6:10" ht="15.75" customHeight="1">
      <c r="F672" s="4"/>
      <c r="J672" s="4"/>
    </row>
    <row r="673" spans="6:10" ht="15.75" customHeight="1">
      <c r="F673" s="4"/>
      <c r="J673" s="4"/>
    </row>
    <row r="674" spans="6:10" ht="15.75" customHeight="1">
      <c r="F674" s="4"/>
      <c r="J674" s="4"/>
    </row>
    <row r="675" spans="6:10" ht="15.75" customHeight="1">
      <c r="F675" s="4"/>
      <c r="J675" s="4"/>
    </row>
    <row r="676" spans="6:10" ht="15.75" customHeight="1">
      <c r="F676" s="4"/>
      <c r="J676" s="4"/>
    </row>
    <row r="677" spans="6:10" ht="15.75" customHeight="1">
      <c r="F677" s="4"/>
      <c r="J677" s="4"/>
    </row>
    <row r="678" spans="6:10" ht="15.75" customHeight="1">
      <c r="F678" s="4"/>
      <c r="J678" s="4"/>
    </row>
    <row r="679" spans="6:10" ht="15.75" customHeight="1">
      <c r="F679" s="4"/>
      <c r="J679" s="4"/>
    </row>
    <row r="680" spans="6:10" ht="15.75" customHeight="1">
      <c r="F680" s="4"/>
      <c r="J680" s="4"/>
    </row>
    <row r="681" spans="6:10" ht="15.75" customHeight="1">
      <c r="F681" s="4"/>
      <c r="J681" s="4"/>
    </row>
    <row r="682" spans="6:10" ht="15.75" customHeight="1">
      <c r="F682" s="4"/>
      <c r="J682" s="4"/>
    </row>
    <row r="683" spans="6:10" ht="15.75" customHeight="1">
      <c r="F683" s="4"/>
      <c r="J683" s="4"/>
    </row>
    <row r="684" spans="6:10" ht="15.75" customHeight="1">
      <c r="F684" s="4"/>
      <c r="J684" s="4"/>
    </row>
    <row r="685" spans="6:10" ht="15.75" customHeight="1">
      <c r="F685" s="4"/>
      <c r="J685" s="4"/>
    </row>
    <row r="686" spans="6:10" ht="15.75" customHeight="1">
      <c r="F686" s="4"/>
      <c r="J686" s="4"/>
    </row>
    <row r="687" spans="6:10" ht="15.75" customHeight="1">
      <c r="F687" s="4"/>
      <c r="J687" s="4"/>
    </row>
    <row r="688" spans="6:10" ht="15.75" customHeight="1">
      <c r="F688" s="4"/>
      <c r="J688" s="4"/>
    </row>
    <row r="689" spans="6:10" ht="15.75" customHeight="1">
      <c r="F689" s="4"/>
      <c r="J689" s="4"/>
    </row>
    <row r="690" spans="6:10" ht="15.75" customHeight="1">
      <c r="F690" s="4"/>
      <c r="J690" s="4"/>
    </row>
    <row r="691" spans="6:10" ht="15.75" customHeight="1">
      <c r="F691" s="4"/>
      <c r="J691" s="4"/>
    </row>
    <row r="692" spans="6:10" ht="15.75" customHeight="1">
      <c r="F692" s="4"/>
      <c r="J692" s="4"/>
    </row>
    <row r="693" spans="6:10" ht="15.75" customHeight="1">
      <c r="F693" s="4"/>
      <c r="J693" s="4"/>
    </row>
    <row r="694" spans="6:10" ht="15.75" customHeight="1">
      <c r="F694" s="4"/>
      <c r="J694" s="4"/>
    </row>
    <row r="695" spans="6:10" ht="15.75" customHeight="1">
      <c r="F695" s="4"/>
      <c r="J695" s="4"/>
    </row>
    <row r="696" spans="6:10" ht="15.75" customHeight="1">
      <c r="F696" s="4"/>
      <c r="J696" s="4"/>
    </row>
    <row r="697" spans="6:10" ht="15.75" customHeight="1">
      <c r="F697" s="4"/>
      <c r="J697" s="4"/>
    </row>
    <row r="698" spans="6:10" ht="15.75" customHeight="1">
      <c r="F698" s="4"/>
      <c r="J698" s="4"/>
    </row>
    <row r="699" spans="6:10" ht="15.75" customHeight="1">
      <c r="F699" s="4"/>
      <c r="J699" s="4"/>
    </row>
    <row r="700" spans="6:10" ht="15.75" customHeight="1">
      <c r="F700" s="4"/>
      <c r="J700" s="4"/>
    </row>
    <row r="701" spans="6:10" ht="15.75" customHeight="1">
      <c r="F701" s="4"/>
      <c r="J701" s="4"/>
    </row>
    <row r="702" spans="6:10" ht="15.75" customHeight="1">
      <c r="F702" s="4"/>
      <c r="J702" s="4"/>
    </row>
    <row r="703" spans="6:10" ht="15.75" customHeight="1">
      <c r="F703" s="4"/>
      <c r="J703" s="4"/>
    </row>
    <row r="704" spans="6:10" ht="15.75" customHeight="1">
      <c r="F704" s="4"/>
      <c r="J704" s="4"/>
    </row>
    <row r="705" spans="6:10" ht="15.75" customHeight="1">
      <c r="F705" s="4"/>
      <c r="J705" s="4"/>
    </row>
    <row r="706" spans="6:10" ht="15.75" customHeight="1">
      <c r="F706" s="4"/>
      <c r="J706" s="4"/>
    </row>
    <row r="707" spans="6:10" ht="15.75" customHeight="1">
      <c r="F707" s="4"/>
      <c r="J707" s="4"/>
    </row>
    <row r="708" spans="6:10" ht="15.75" customHeight="1">
      <c r="F708" s="4"/>
      <c r="J708" s="4"/>
    </row>
    <row r="709" spans="6:10" ht="15.75" customHeight="1">
      <c r="F709" s="4"/>
      <c r="J709" s="4"/>
    </row>
    <row r="710" spans="6:10" ht="15.75" customHeight="1">
      <c r="F710" s="4"/>
      <c r="J710" s="4"/>
    </row>
    <row r="711" spans="6:10" ht="15.75" customHeight="1">
      <c r="F711" s="4"/>
      <c r="J711" s="4"/>
    </row>
    <row r="712" spans="6:10" ht="15.75" customHeight="1">
      <c r="F712" s="4"/>
      <c r="J712" s="4"/>
    </row>
    <row r="713" spans="6:10" ht="15.75" customHeight="1">
      <c r="F713" s="4"/>
      <c r="J713" s="4"/>
    </row>
    <row r="714" spans="6:10" ht="15.75" customHeight="1">
      <c r="F714" s="4"/>
      <c r="J714" s="4"/>
    </row>
    <row r="715" spans="6:10" ht="15.75" customHeight="1">
      <c r="F715" s="4"/>
      <c r="J715" s="4"/>
    </row>
    <row r="716" spans="6:10" ht="15.75" customHeight="1">
      <c r="F716" s="4"/>
      <c r="J716" s="4"/>
    </row>
    <row r="717" spans="6:10" ht="15.75" customHeight="1">
      <c r="F717" s="4"/>
      <c r="J717" s="4"/>
    </row>
    <row r="718" spans="6:10" ht="15.75" customHeight="1">
      <c r="F718" s="4"/>
      <c r="J718" s="4"/>
    </row>
    <row r="719" spans="6:10" ht="15.75" customHeight="1">
      <c r="F719" s="4"/>
      <c r="J719" s="4"/>
    </row>
    <row r="720" spans="6:10" ht="15.75" customHeight="1">
      <c r="F720" s="4"/>
      <c r="J720" s="4"/>
    </row>
    <row r="721" spans="6:10" ht="15.75" customHeight="1">
      <c r="F721" s="4"/>
      <c r="J721" s="4"/>
    </row>
    <row r="722" spans="6:10" ht="15.75" customHeight="1">
      <c r="F722" s="4"/>
      <c r="J722" s="4"/>
    </row>
    <row r="723" spans="6:10" ht="15.75" customHeight="1">
      <c r="F723" s="4"/>
      <c r="J723" s="4"/>
    </row>
    <row r="724" spans="6:10" ht="15.75" customHeight="1">
      <c r="F724" s="4"/>
      <c r="J724" s="4"/>
    </row>
    <row r="725" spans="6:10" ht="15.75" customHeight="1">
      <c r="F725" s="4"/>
      <c r="J725" s="4"/>
    </row>
    <row r="726" spans="6:10" ht="15.75" customHeight="1">
      <c r="F726" s="4"/>
      <c r="J726" s="4"/>
    </row>
    <row r="727" spans="6:10" ht="15.75" customHeight="1">
      <c r="F727" s="4"/>
      <c r="J727" s="4"/>
    </row>
    <row r="728" spans="6:10" ht="15.75" customHeight="1">
      <c r="F728" s="4"/>
      <c r="J728" s="4"/>
    </row>
    <row r="729" spans="6:10" ht="15.75" customHeight="1">
      <c r="F729" s="4"/>
      <c r="J729" s="4"/>
    </row>
    <row r="730" spans="6:10" ht="15.75" customHeight="1">
      <c r="F730" s="4"/>
      <c r="J730" s="4"/>
    </row>
    <row r="731" spans="6:10" ht="15.75" customHeight="1">
      <c r="F731" s="4"/>
      <c r="J731" s="4"/>
    </row>
    <row r="732" spans="6:10" ht="15.75" customHeight="1">
      <c r="F732" s="4"/>
      <c r="J732" s="4"/>
    </row>
    <row r="733" spans="6:10" ht="15.75" customHeight="1">
      <c r="F733" s="4"/>
      <c r="J733" s="4"/>
    </row>
    <row r="734" spans="6:10" ht="15.75" customHeight="1">
      <c r="F734" s="4"/>
      <c r="J734" s="4"/>
    </row>
    <row r="735" spans="6:10" ht="15.75" customHeight="1">
      <c r="F735" s="4"/>
      <c r="J735" s="4"/>
    </row>
    <row r="736" spans="6:10" ht="15.75" customHeight="1">
      <c r="F736" s="4"/>
      <c r="J736" s="4"/>
    </row>
    <row r="737" spans="6:10" ht="15.75" customHeight="1">
      <c r="F737" s="4"/>
      <c r="J737" s="4"/>
    </row>
    <row r="738" spans="6:10" ht="15.75" customHeight="1">
      <c r="F738" s="4"/>
      <c r="J738" s="4"/>
    </row>
    <row r="739" spans="6:10" ht="15.75" customHeight="1">
      <c r="F739" s="4"/>
      <c r="J739" s="4"/>
    </row>
    <row r="740" spans="6:10" ht="15.75" customHeight="1">
      <c r="F740" s="4"/>
      <c r="J740" s="4"/>
    </row>
    <row r="741" spans="6:10" ht="15.75" customHeight="1">
      <c r="F741" s="4"/>
      <c r="J741" s="4"/>
    </row>
    <row r="742" spans="6:10" ht="15.75" customHeight="1">
      <c r="F742" s="4"/>
      <c r="J742" s="4"/>
    </row>
    <row r="743" spans="6:10" ht="15.75" customHeight="1">
      <c r="F743" s="4"/>
      <c r="J743" s="4"/>
    </row>
    <row r="744" spans="6:10" ht="15.75" customHeight="1">
      <c r="F744" s="4"/>
      <c r="J744" s="4"/>
    </row>
    <row r="745" spans="6:10" ht="15.75" customHeight="1">
      <c r="F745" s="4"/>
      <c r="J745" s="4"/>
    </row>
    <row r="746" spans="6:10" ht="15.75" customHeight="1">
      <c r="F746" s="4"/>
      <c r="J746" s="4"/>
    </row>
    <row r="747" spans="6:10" ht="15.75" customHeight="1">
      <c r="F747" s="4"/>
      <c r="J747" s="4"/>
    </row>
    <row r="748" spans="6:10" ht="15.75" customHeight="1">
      <c r="F748" s="4"/>
      <c r="J748" s="4"/>
    </row>
    <row r="749" spans="6:10" ht="15.75" customHeight="1">
      <c r="F749" s="4"/>
      <c r="J749" s="4"/>
    </row>
    <row r="750" spans="6:10" ht="15.75" customHeight="1">
      <c r="F750" s="4"/>
      <c r="J750" s="4"/>
    </row>
    <row r="751" spans="6:10" ht="15.75" customHeight="1">
      <c r="F751" s="4"/>
      <c r="J751" s="4"/>
    </row>
    <row r="752" spans="6:10" ht="15.75" customHeight="1">
      <c r="F752" s="4"/>
      <c r="J752" s="4"/>
    </row>
    <row r="753" spans="6:10" ht="15.75" customHeight="1">
      <c r="F753" s="4"/>
      <c r="J753" s="4"/>
    </row>
    <row r="754" spans="6:10" ht="15.75" customHeight="1">
      <c r="F754" s="4"/>
      <c r="J754" s="4"/>
    </row>
    <row r="755" spans="6:10" ht="15.75" customHeight="1">
      <c r="F755" s="4"/>
      <c r="J755" s="4"/>
    </row>
    <row r="756" spans="6:10" ht="15.75" customHeight="1">
      <c r="F756" s="4"/>
      <c r="J756" s="4"/>
    </row>
    <row r="757" spans="6:10" ht="15.75" customHeight="1">
      <c r="F757" s="4"/>
      <c r="J757" s="4"/>
    </row>
    <row r="758" spans="6:10" ht="15.75" customHeight="1">
      <c r="F758" s="4"/>
      <c r="J758" s="4"/>
    </row>
    <row r="759" spans="6:10" ht="15.75" customHeight="1">
      <c r="F759" s="4"/>
      <c r="J759" s="4"/>
    </row>
    <row r="760" spans="6:10" ht="15.75" customHeight="1">
      <c r="F760" s="4"/>
      <c r="J760" s="4"/>
    </row>
    <row r="761" spans="6:10" ht="15.75" customHeight="1">
      <c r="F761" s="4"/>
      <c r="J761" s="4"/>
    </row>
    <row r="762" spans="6:10" ht="15.75" customHeight="1">
      <c r="F762" s="4"/>
      <c r="J762" s="4"/>
    </row>
    <row r="763" spans="6:10" ht="15.75" customHeight="1">
      <c r="F763" s="4"/>
      <c r="J763" s="4"/>
    </row>
    <row r="764" spans="6:10" ht="15.75" customHeight="1">
      <c r="F764" s="4"/>
      <c r="J764" s="4"/>
    </row>
    <row r="765" spans="6:10" ht="15.75" customHeight="1">
      <c r="F765" s="4"/>
      <c r="J765" s="4"/>
    </row>
    <row r="766" spans="6:10" ht="15.75" customHeight="1">
      <c r="F766" s="4"/>
      <c r="J766" s="4"/>
    </row>
    <row r="767" spans="6:10" ht="15.75" customHeight="1">
      <c r="F767" s="4"/>
      <c r="J767" s="4"/>
    </row>
    <row r="768" spans="6:10" ht="15.75" customHeight="1">
      <c r="F768" s="4"/>
      <c r="J768" s="4"/>
    </row>
    <row r="769" spans="6:10" ht="15.75" customHeight="1">
      <c r="F769" s="4"/>
      <c r="J769" s="4"/>
    </row>
    <row r="770" spans="6:10" ht="15.75" customHeight="1">
      <c r="F770" s="4"/>
      <c r="J770" s="4"/>
    </row>
    <row r="771" spans="6:10" ht="15.75" customHeight="1">
      <c r="F771" s="4"/>
      <c r="J771" s="4"/>
    </row>
    <row r="772" spans="6:10" ht="15.75" customHeight="1">
      <c r="F772" s="4"/>
      <c r="J772" s="4"/>
    </row>
    <row r="773" spans="6:10" ht="15.75" customHeight="1">
      <c r="F773" s="4"/>
      <c r="J773" s="4"/>
    </row>
    <row r="774" spans="6:10" ht="15.75" customHeight="1">
      <c r="F774" s="4"/>
      <c r="J774" s="4"/>
    </row>
    <row r="775" spans="6:10" ht="15.75" customHeight="1">
      <c r="F775" s="4"/>
      <c r="J775" s="4"/>
    </row>
    <row r="776" spans="6:10" ht="15.75" customHeight="1">
      <c r="F776" s="4"/>
      <c r="J776" s="4"/>
    </row>
    <row r="777" spans="6:10" ht="15.75" customHeight="1">
      <c r="F777" s="4"/>
      <c r="J777" s="4"/>
    </row>
    <row r="778" spans="6:10" ht="15.75" customHeight="1">
      <c r="F778" s="4"/>
      <c r="J778" s="4"/>
    </row>
    <row r="779" spans="6:10" ht="15.75" customHeight="1">
      <c r="F779" s="4"/>
      <c r="J779" s="4"/>
    </row>
    <row r="780" spans="6:10" ht="15.75" customHeight="1">
      <c r="F780" s="4"/>
      <c r="J780" s="4"/>
    </row>
    <row r="781" spans="6:10" ht="15.75" customHeight="1">
      <c r="F781" s="4"/>
      <c r="J781" s="4"/>
    </row>
    <row r="782" spans="6:10" ht="15.75" customHeight="1">
      <c r="F782" s="4"/>
      <c r="J782" s="4"/>
    </row>
    <row r="783" spans="6:10" ht="15.75" customHeight="1">
      <c r="F783" s="4"/>
      <c r="J783" s="4"/>
    </row>
    <row r="784" spans="6:10" ht="15.75" customHeight="1">
      <c r="F784" s="4"/>
      <c r="J784" s="4"/>
    </row>
    <row r="785" spans="6:10" ht="15.75" customHeight="1">
      <c r="F785" s="4"/>
      <c r="J785" s="4"/>
    </row>
    <row r="786" spans="6:10" ht="15.75" customHeight="1">
      <c r="F786" s="4"/>
      <c r="J786" s="4"/>
    </row>
    <row r="787" spans="6:10" ht="15.75" customHeight="1">
      <c r="F787" s="4"/>
      <c r="J787" s="4"/>
    </row>
    <row r="788" spans="6:10" ht="15.75" customHeight="1">
      <c r="F788" s="4"/>
      <c r="J788" s="4"/>
    </row>
    <row r="789" spans="6:10" ht="15.75" customHeight="1">
      <c r="F789" s="4"/>
      <c r="J789" s="4"/>
    </row>
    <row r="790" spans="6:10" ht="15.75" customHeight="1">
      <c r="F790" s="4"/>
      <c r="J790" s="4"/>
    </row>
    <row r="791" spans="6:10" ht="15.75" customHeight="1">
      <c r="F791" s="4"/>
      <c r="J791" s="4"/>
    </row>
    <row r="792" spans="6:10" ht="15.75" customHeight="1">
      <c r="F792" s="4"/>
      <c r="J792" s="4"/>
    </row>
    <row r="793" spans="6:10" ht="15.75" customHeight="1">
      <c r="F793" s="4"/>
      <c r="J793" s="4"/>
    </row>
    <row r="794" spans="6:10" ht="15.75" customHeight="1">
      <c r="F794" s="4"/>
      <c r="J794" s="4"/>
    </row>
    <row r="795" spans="6:10" ht="15.75" customHeight="1">
      <c r="F795" s="4"/>
      <c r="J795" s="4"/>
    </row>
    <row r="796" spans="6:10" ht="15.75" customHeight="1">
      <c r="F796" s="4"/>
      <c r="J796" s="4"/>
    </row>
    <row r="797" spans="6:10" ht="15.75" customHeight="1">
      <c r="F797" s="4"/>
      <c r="J797" s="4"/>
    </row>
    <row r="798" spans="6:10" ht="15.75" customHeight="1">
      <c r="F798" s="4"/>
      <c r="J798" s="4"/>
    </row>
    <row r="799" spans="6:10" ht="15.75" customHeight="1">
      <c r="F799" s="4"/>
      <c r="J799" s="4"/>
    </row>
    <row r="800" spans="6:10" ht="15.75" customHeight="1">
      <c r="F800" s="4"/>
      <c r="J800" s="4"/>
    </row>
    <row r="801" spans="6:10" ht="15.75" customHeight="1">
      <c r="F801" s="4"/>
      <c r="J801" s="4"/>
    </row>
    <row r="802" spans="6:10" ht="15.75" customHeight="1">
      <c r="F802" s="4"/>
      <c r="J802" s="4"/>
    </row>
    <row r="803" spans="6:10" ht="15.75" customHeight="1">
      <c r="F803" s="4"/>
      <c r="J803" s="4"/>
    </row>
    <row r="804" spans="6:10" ht="15.75" customHeight="1">
      <c r="F804" s="4"/>
      <c r="J804" s="4"/>
    </row>
    <row r="805" spans="6:10" ht="15.75" customHeight="1">
      <c r="F805" s="4"/>
      <c r="J805" s="4"/>
    </row>
    <row r="806" spans="6:10" ht="15.75" customHeight="1">
      <c r="F806" s="4"/>
      <c r="J806" s="4"/>
    </row>
    <row r="807" spans="6:10" ht="15.75" customHeight="1">
      <c r="F807" s="4"/>
      <c r="J807" s="4"/>
    </row>
    <row r="808" spans="6:10" ht="15.75" customHeight="1">
      <c r="F808" s="4"/>
      <c r="J808" s="4"/>
    </row>
    <row r="809" spans="6:10" ht="15.75" customHeight="1">
      <c r="F809" s="4"/>
      <c r="J809" s="4"/>
    </row>
    <row r="810" spans="6:10" ht="15.75" customHeight="1">
      <c r="F810" s="4"/>
      <c r="J810" s="4"/>
    </row>
    <row r="811" spans="6:10" ht="15.75" customHeight="1">
      <c r="F811" s="4"/>
      <c r="J811" s="4"/>
    </row>
    <row r="812" spans="6:10" ht="15.75" customHeight="1">
      <c r="F812" s="4"/>
      <c r="J812" s="4"/>
    </row>
    <row r="813" spans="6:10" ht="15.75" customHeight="1">
      <c r="F813" s="4"/>
      <c r="J813" s="4"/>
    </row>
    <row r="814" spans="6:10" ht="15.75" customHeight="1">
      <c r="F814" s="4"/>
      <c r="J814" s="4"/>
    </row>
    <row r="815" spans="6:10" ht="15.75" customHeight="1">
      <c r="F815" s="4"/>
      <c r="J815" s="4"/>
    </row>
    <row r="816" spans="6:10" ht="15.75" customHeight="1">
      <c r="F816" s="4"/>
      <c r="J816" s="4"/>
    </row>
    <row r="817" spans="6:10" ht="15.75" customHeight="1">
      <c r="F817" s="4"/>
      <c r="J817" s="4"/>
    </row>
    <row r="818" spans="6:10" ht="15.75" customHeight="1">
      <c r="F818" s="4"/>
      <c r="J818" s="4"/>
    </row>
    <row r="819" spans="6:10" ht="15.75" customHeight="1">
      <c r="F819" s="4"/>
      <c r="J819" s="4"/>
    </row>
    <row r="820" spans="6:10" ht="15.75" customHeight="1">
      <c r="F820" s="4"/>
      <c r="J820" s="4"/>
    </row>
    <row r="821" spans="6:10" ht="15.75" customHeight="1">
      <c r="F821" s="4"/>
      <c r="J821" s="4"/>
    </row>
    <row r="822" spans="6:10" ht="15.75" customHeight="1">
      <c r="F822" s="4"/>
      <c r="J822" s="4"/>
    </row>
    <row r="823" spans="6:10" ht="15.75" customHeight="1">
      <c r="F823" s="4"/>
      <c r="J823" s="4"/>
    </row>
    <row r="824" spans="6:10" ht="15.75" customHeight="1">
      <c r="F824" s="4"/>
      <c r="J824" s="4"/>
    </row>
    <row r="825" spans="6:10" ht="15.75" customHeight="1">
      <c r="F825" s="4"/>
      <c r="J825" s="4"/>
    </row>
    <row r="826" spans="6:10" ht="15.75" customHeight="1">
      <c r="F826" s="4"/>
      <c r="J826" s="4"/>
    </row>
    <row r="827" spans="6:10" ht="15.75" customHeight="1">
      <c r="F827" s="4"/>
      <c r="J827" s="4"/>
    </row>
    <row r="828" spans="6:10" ht="15.75" customHeight="1">
      <c r="F828" s="4"/>
      <c r="J828" s="4"/>
    </row>
    <row r="829" spans="6:10" ht="15.75" customHeight="1">
      <c r="F829" s="4"/>
      <c r="J829" s="4"/>
    </row>
    <row r="830" spans="6:10" ht="15.75" customHeight="1">
      <c r="F830" s="4"/>
      <c r="J830" s="4"/>
    </row>
    <row r="831" spans="6:10" ht="15.75" customHeight="1">
      <c r="F831" s="4"/>
      <c r="J831" s="4"/>
    </row>
    <row r="832" spans="6:10" ht="15.75" customHeight="1">
      <c r="F832" s="4"/>
      <c r="J832" s="4"/>
    </row>
    <row r="833" spans="6:10" ht="15.75" customHeight="1">
      <c r="F833" s="4"/>
      <c r="J833" s="4"/>
    </row>
    <row r="834" spans="6:10" ht="15.75" customHeight="1">
      <c r="F834" s="4"/>
      <c r="J834" s="4"/>
    </row>
    <row r="835" spans="6:10" ht="15.75" customHeight="1">
      <c r="F835" s="4"/>
      <c r="J835" s="4"/>
    </row>
    <row r="836" spans="6:10" ht="15.75" customHeight="1">
      <c r="F836" s="4"/>
      <c r="J836" s="4"/>
    </row>
    <row r="837" spans="6:10" ht="15.75" customHeight="1">
      <c r="F837" s="4"/>
      <c r="J837" s="4"/>
    </row>
    <row r="838" spans="6:10" ht="15.75" customHeight="1">
      <c r="F838" s="4"/>
      <c r="J838" s="4"/>
    </row>
    <row r="839" spans="6:10" ht="15.75" customHeight="1">
      <c r="F839" s="4"/>
      <c r="J839" s="4"/>
    </row>
    <row r="840" spans="6:10" ht="15.75" customHeight="1">
      <c r="F840" s="4"/>
      <c r="J840" s="4"/>
    </row>
    <row r="841" spans="6:10" ht="15.75" customHeight="1">
      <c r="F841" s="4"/>
      <c r="J841" s="4"/>
    </row>
    <row r="842" spans="6:10" ht="15.75" customHeight="1">
      <c r="F842" s="4"/>
      <c r="J842" s="4"/>
    </row>
    <row r="843" spans="6:10" ht="15.75" customHeight="1">
      <c r="F843" s="4"/>
      <c r="J843" s="4"/>
    </row>
    <row r="844" spans="6:10" ht="15.75" customHeight="1">
      <c r="F844" s="4"/>
      <c r="J844" s="4"/>
    </row>
    <row r="845" spans="6:10" ht="15.75" customHeight="1">
      <c r="F845" s="4"/>
      <c r="J845" s="4"/>
    </row>
    <row r="846" spans="6:10" ht="15.75" customHeight="1">
      <c r="F846" s="4"/>
      <c r="J846" s="4"/>
    </row>
    <row r="847" spans="6:10" ht="15.75" customHeight="1">
      <c r="F847" s="4"/>
      <c r="J847" s="4"/>
    </row>
    <row r="848" spans="6:10" ht="15.75" customHeight="1">
      <c r="F848" s="4"/>
      <c r="J848" s="4"/>
    </row>
    <row r="849" spans="6:10" ht="15.75" customHeight="1">
      <c r="F849" s="4"/>
      <c r="J849" s="4"/>
    </row>
    <row r="850" spans="6:10" ht="15.75" customHeight="1">
      <c r="F850" s="4"/>
      <c r="J850" s="4"/>
    </row>
    <row r="851" spans="6:10" ht="15.75" customHeight="1">
      <c r="F851" s="4"/>
      <c r="J851" s="4"/>
    </row>
    <row r="852" spans="6:10" ht="15.75" customHeight="1">
      <c r="F852" s="4"/>
      <c r="J852" s="4"/>
    </row>
    <row r="853" spans="6:10" ht="15.75" customHeight="1">
      <c r="F853" s="4"/>
      <c r="J853" s="4"/>
    </row>
    <row r="854" spans="6:10" ht="15.75" customHeight="1">
      <c r="F854" s="4"/>
      <c r="J854" s="4"/>
    </row>
    <row r="855" spans="6:10" ht="15.75" customHeight="1">
      <c r="F855" s="4"/>
      <c r="J855" s="4"/>
    </row>
    <row r="856" spans="6:10" ht="15.75" customHeight="1">
      <c r="F856" s="4"/>
      <c r="J856" s="4"/>
    </row>
    <row r="857" spans="6:10" ht="15.75" customHeight="1">
      <c r="F857" s="4"/>
      <c r="J857" s="4"/>
    </row>
    <row r="858" spans="6:10" ht="15.75" customHeight="1">
      <c r="F858" s="4"/>
      <c r="J858" s="4"/>
    </row>
    <row r="859" spans="6:10" ht="15.75" customHeight="1">
      <c r="F859" s="4"/>
      <c r="J859" s="4"/>
    </row>
    <row r="860" spans="6:10" ht="15.75" customHeight="1">
      <c r="F860" s="4"/>
      <c r="J860" s="4"/>
    </row>
    <row r="861" spans="6:10" ht="15.75" customHeight="1">
      <c r="F861" s="4"/>
      <c r="J861" s="4"/>
    </row>
    <row r="862" spans="6:10" ht="15.75" customHeight="1">
      <c r="F862" s="4"/>
      <c r="J862" s="4"/>
    </row>
    <row r="863" spans="6:10" ht="15.75" customHeight="1">
      <c r="F863" s="4"/>
      <c r="J863" s="4"/>
    </row>
    <row r="864" spans="6:10" ht="15.75" customHeight="1">
      <c r="F864" s="4"/>
      <c r="J864" s="4"/>
    </row>
    <row r="865" spans="6:10" ht="15.75" customHeight="1">
      <c r="F865" s="4"/>
      <c r="J865" s="4"/>
    </row>
    <row r="866" spans="6:10" ht="15.75" customHeight="1">
      <c r="F866" s="4"/>
      <c r="J866" s="4"/>
    </row>
    <row r="867" spans="6:10" ht="15.75" customHeight="1">
      <c r="F867" s="4"/>
      <c r="J867" s="4"/>
    </row>
    <row r="868" spans="6:10" ht="15.75" customHeight="1">
      <c r="F868" s="4"/>
      <c r="J868" s="4"/>
    </row>
    <row r="869" spans="6:10" ht="15.75" customHeight="1">
      <c r="F869" s="4"/>
      <c r="J869" s="4"/>
    </row>
    <row r="870" spans="6:10" ht="15.75" customHeight="1">
      <c r="F870" s="4"/>
      <c r="J870" s="4"/>
    </row>
    <row r="871" spans="6:10" ht="15.75" customHeight="1">
      <c r="F871" s="4"/>
      <c r="J871" s="4"/>
    </row>
    <row r="872" spans="6:10" ht="15.75" customHeight="1">
      <c r="F872" s="4"/>
      <c r="J872" s="4"/>
    </row>
    <row r="873" spans="6:10" ht="15.75" customHeight="1">
      <c r="F873" s="4"/>
      <c r="J873" s="4"/>
    </row>
    <row r="874" spans="6:10" ht="15.75" customHeight="1">
      <c r="F874" s="4"/>
      <c r="J874" s="4"/>
    </row>
    <row r="875" spans="6:10" ht="15.75" customHeight="1">
      <c r="F875" s="4"/>
      <c r="J875" s="4"/>
    </row>
    <row r="876" spans="6:10" ht="15.75" customHeight="1">
      <c r="F876" s="4"/>
      <c r="J876" s="4"/>
    </row>
    <row r="877" spans="6:10" ht="15.75" customHeight="1">
      <c r="F877" s="4"/>
      <c r="J877" s="4"/>
    </row>
    <row r="878" spans="6:10" ht="15.75" customHeight="1">
      <c r="F878" s="4"/>
      <c r="J878" s="4"/>
    </row>
    <row r="879" spans="6:10" ht="15.75" customHeight="1">
      <c r="F879" s="4"/>
      <c r="J879" s="4"/>
    </row>
    <row r="880" spans="6:10" ht="15.75" customHeight="1">
      <c r="F880" s="4"/>
      <c r="J880" s="4"/>
    </row>
    <row r="881" spans="6:10" ht="15.75" customHeight="1">
      <c r="F881" s="4"/>
      <c r="J881" s="4"/>
    </row>
    <row r="882" spans="6:10" ht="15.75" customHeight="1">
      <c r="F882" s="4"/>
      <c r="J882" s="4"/>
    </row>
    <row r="883" spans="6:10" ht="15.75" customHeight="1">
      <c r="F883" s="4"/>
      <c r="J883" s="4"/>
    </row>
    <row r="884" spans="6:10" ht="15.75" customHeight="1">
      <c r="F884" s="4"/>
      <c r="J884" s="4"/>
    </row>
    <row r="885" spans="6:10" ht="15.75" customHeight="1">
      <c r="F885" s="4"/>
      <c r="J885" s="4"/>
    </row>
    <row r="886" spans="6:10" ht="15.75" customHeight="1">
      <c r="F886" s="4"/>
      <c r="J886" s="4"/>
    </row>
    <row r="887" spans="6:10" ht="15.75" customHeight="1">
      <c r="F887" s="4"/>
      <c r="J887" s="4"/>
    </row>
    <row r="888" spans="6:10" ht="15.75" customHeight="1">
      <c r="F888" s="4"/>
      <c r="J888" s="4"/>
    </row>
    <row r="889" spans="6:10" ht="15.75" customHeight="1">
      <c r="F889" s="4"/>
      <c r="J889" s="4"/>
    </row>
    <row r="890" spans="6:10" ht="15.75" customHeight="1">
      <c r="F890" s="4"/>
      <c r="J890" s="4"/>
    </row>
    <row r="891" spans="6:10" ht="15.75" customHeight="1">
      <c r="F891" s="4"/>
      <c r="J891" s="4"/>
    </row>
    <row r="892" spans="6:10" ht="15.75" customHeight="1">
      <c r="F892" s="4"/>
      <c r="J892" s="4"/>
    </row>
    <row r="893" spans="6:10" ht="15.75" customHeight="1">
      <c r="F893" s="4"/>
      <c r="J893" s="4"/>
    </row>
    <row r="894" spans="6:10" ht="15.75" customHeight="1">
      <c r="F894" s="4"/>
      <c r="J894" s="4"/>
    </row>
    <row r="895" spans="6:10" ht="15.75" customHeight="1">
      <c r="F895" s="4"/>
      <c r="J895" s="4"/>
    </row>
    <row r="896" spans="6:10" ht="15.75" customHeight="1">
      <c r="F896" s="4"/>
      <c r="J896" s="4"/>
    </row>
    <row r="897" spans="6:10" ht="15.75" customHeight="1">
      <c r="F897" s="4"/>
      <c r="J897" s="4"/>
    </row>
    <row r="898" spans="6:10" ht="15.75" customHeight="1">
      <c r="F898" s="4"/>
      <c r="J898" s="4"/>
    </row>
    <row r="899" spans="6:10" ht="15.75" customHeight="1">
      <c r="F899" s="4"/>
      <c r="J899" s="4"/>
    </row>
    <row r="900" spans="6:10" ht="15.75" customHeight="1">
      <c r="F900" s="4"/>
      <c r="J900" s="4"/>
    </row>
    <row r="901" spans="6:10" ht="15.75" customHeight="1">
      <c r="F901" s="4"/>
      <c r="J901" s="4"/>
    </row>
    <row r="902" spans="6:10" ht="15.75" customHeight="1">
      <c r="F902" s="4"/>
      <c r="J902" s="4"/>
    </row>
    <row r="903" spans="6:10" ht="15.75" customHeight="1">
      <c r="F903" s="4"/>
      <c r="J903" s="4"/>
    </row>
    <row r="904" spans="6:10" ht="15.75" customHeight="1">
      <c r="F904" s="4"/>
      <c r="J904" s="4"/>
    </row>
    <row r="905" spans="6:10" ht="15.75" customHeight="1">
      <c r="F905" s="4"/>
      <c r="J905" s="4"/>
    </row>
    <row r="906" spans="6:10" ht="15.75" customHeight="1">
      <c r="F906" s="4"/>
      <c r="J906" s="4"/>
    </row>
    <row r="907" spans="6:10" ht="15.75" customHeight="1">
      <c r="F907" s="4"/>
      <c r="J907" s="4"/>
    </row>
    <row r="908" spans="6:10" ht="15.75" customHeight="1">
      <c r="F908" s="4"/>
      <c r="J908" s="4"/>
    </row>
    <row r="909" spans="6:10" ht="15.75" customHeight="1">
      <c r="F909" s="4"/>
      <c r="J909" s="4"/>
    </row>
    <row r="910" spans="6:10" ht="15.75" customHeight="1">
      <c r="F910" s="4"/>
      <c r="J910" s="4"/>
    </row>
    <row r="911" spans="6:10" ht="15.75" customHeight="1">
      <c r="F911" s="4"/>
      <c r="J911" s="4"/>
    </row>
    <row r="912" spans="6:10" ht="15.75" customHeight="1">
      <c r="F912" s="4"/>
      <c r="J912" s="4"/>
    </row>
    <row r="913" spans="6:10" ht="15.75" customHeight="1">
      <c r="F913" s="4"/>
      <c r="J913" s="4"/>
    </row>
    <row r="914" spans="6:10" ht="15.75" customHeight="1">
      <c r="F914" s="4"/>
      <c r="J914" s="4"/>
    </row>
    <row r="915" spans="6:10" ht="15.75" customHeight="1">
      <c r="F915" s="4"/>
      <c r="J915" s="4"/>
    </row>
    <row r="916" spans="6:10" ht="15.75" customHeight="1">
      <c r="F916" s="4"/>
      <c r="J916" s="4"/>
    </row>
    <row r="917" spans="6:10" ht="15.75" customHeight="1">
      <c r="F917" s="4"/>
      <c r="J917" s="4"/>
    </row>
    <row r="918" spans="6:10" ht="15.75" customHeight="1">
      <c r="F918" s="4"/>
      <c r="J918" s="4"/>
    </row>
    <row r="919" spans="6:10" ht="15.75" customHeight="1">
      <c r="F919" s="4"/>
      <c r="J919" s="4"/>
    </row>
    <row r="920" spans="6:10" ht="15.75" customHeight="1">
      <c r="F920" s="4"/>
      <c r="J920" s="4"/>
    </row>
    <row r="921" spans="6:10" ht="15.75" customHeight="1">
      <c r="F921" s="4"/>
      <c r="J921" s="4"/>
    </row>
    <row r="922" spans="6:10" ht="15.75" customHeight="1">
      <c r="F922" s="4"/>
      <c r="J922" s="4"/>
    </row>
    <row r="923" spans="6:10" ht="15.75" customHeight="1">
      <c r="F923" s="4"/>
      <c r="J923" s="4"/>
    </row>
    <row r="924" spans="6:10" ht="15.75" customHeight="1">
      <c r="F924" s="4"/>
      <c r="J924" s="4"/>
    </row>
    <row r="925" spans="6:10" ht="15.75" customHeight="1">
      <c r="F925" s="4"/>
      <c r="J925" s="4"/>
    </row>
    <row r="926" spans="6:10" ht="15.75" customHeight="1">
      <c r="F926" s="4"/>
      <c r="J926" s="4"/>
    </row>
    <row r="927" spans="6:10" ht="15.75" customHeight="1">
      <c r="F927" s="4"/>
      <c r="J927" s="4"/>
    </row>
    <row r="928" spans="6:10" ht="15.75" customHeight="1">
      <c r="F928" s="4"/>
      <c r="J928" s="4"/>
    </row>
    <row r="929" spans="6:10" ht="15.75" customHeight="1">
      <c r="F929" s="4"/>
      <c r="J929" s="4"/>
    </row>
    <row r="930" spans="6:10" ht="15.75" customHeight="1">
      <c r="F930" s="4"/>
      <c r="J930" s="4"/>
    </row>
    <row r="931" spans="6:10" ht="15.75" customHeight="1">
      <c r="F931" s="4"/>
      <c r="J931" s="4"/>
    </row>
    <row r="932" spans="6:10" ht="15.75" customHeight="1">
      <c r="F932" s="4"/>
      <c r="J932" s="4"/>
    </row>
    <row r="933" spans="6:10" ht="15.75" customHeight="1">
      <c r="F933" s="4"/>
      <c r="J933" s="4"/>
    </row>
    <row r="934" spans="6:10" ht="15.75" customHeight="1">
      <c r="F934" s="4"/>
      <c r="J934" s="4"/>
    </row>
    <row r="935" spans="6:10" ht="15.75" customHeight="1">
      <c r="F935" s="4"/>
      <c r="J935" s="4"/>
    </row>
    <row r="936" spans="6:10" ht="15.75" customHeight="1">
      <c r="F936" s="4"/>
      <c r="J936" s="4"/>
    </row>
    <row r="937" spans="6:10" ht="15.75" customHeight="1">
      <c r="F937" s="4"/>
      <c r="J937" s="4"/>
    </row>
    <row r="938" spans="6:10" ht="15.75" customHeight="1">
      <c r="F938" s="4"/>
      <c r="J938" s="4"/>
    </row>
    <row r="939" spans="6:10" ht="15.75" customHeight="1">
      <c r="F939" s="4"/>
      <c r="J939" s="4"/>
    </row>
    <row r="940" spans="6:10" ht="15.75" customHeight="1">
      <c r="F940" s="4"/>
      <c r="J940" s="4"/>
    </row>
    <row r="941" spans="6:10" ht="15.75" customHeight="1">
      <c r="F941" s="4"/>
      <c r="J941" s="4"/>
    </row>
    <row r="942" spans="6:10" ht="15.75" customHeight="1">
      <c r="F942" s="4"/>
      <c r="J942" s="4"/>
    </row>
    <row r="943" spans="6:10" ht="15.75" customHeight="1">
      <c r="F943" s="4"/>
      <c r="J943" s="4"/>
    </row>
    <row r="944" spans="6:10" ht="15.75" customHeight="1">
      <c r="F944" s="4"/>
      <c r="J944" s="4"/>
    </row>
    <row r="945" spans="6:10" ht="15.75" customHeight="1">
      <c r="F945" s="4"/>
      <c r="J945" s="4"/>
    </row>
    <row r="946" spans="6:10" ht="15.75" customHeight="1">
      <c r="F946" s="4"/>
      <c r="J946" s="4"/>
    </row>
    <row r="947" spans="6:10" ht="15.75" customHeight="1">
      <c r="F947" s="4"/>
      <c r="J947" s="4"/>
    </row>
    <row r="948" spans="6:10" ht="15.75" customHeight="1">
      <c r="F948" s="4"/>
      <c r="J948" s="4"/>
    </row>
    <row r="949" spans="6:10" ht="15.75" customHeight="1">
      <c r="F949" s="4"/>
      <c r="J949" s="4"/>
    </row>
    <row r="950" spans="6:10" ht="15.75" customHeight="1">
      <c r="F950" s="4"/>
      <c r="J950" s="4"/>
    </row>
    <row r="951" spans="6:10" ht="15.75" customHeight="1">
      <c r="F951" s="4"/>
      <c r="J951" s="4"/>
    </row>
    <row r="952" spans="6:10" ht="15.75" customHeight="1">
      <c r="F952" s="4"/>
      <c r="J952" s="4"/>
    </row>
    <row r="953" spans="6:10" ht="15.75" customHeight="1">
      <c r="F953" s="4"/>
      <c r="J953" s="4"/>
    </row>
    <row r="954" spans="6:10" ht="15.75" customHeight="1">
      <c r="F954" s="4"/>
      <c r="J954" s="4"/>
    </row>
    <row r="955" spans="6:10" ht="15.75" customHeight="1">
      <c r="F955" s="4"/>
      <c r="J955" s="4"/>
    </row>
    <row r="956" spans="6:10" ht="15.75" customHeight="1">
      <c r="F956" s="4"/>
      <c r="J956" s="4"/>
    </row>
    <row r="957" spans="6:10" ht="15.75" customHeight="1">
      <c r="F957" s="4"/>
      <c r="J957" s="4"/>
    </row>
    <row r="958" spans="6:10" ht="15.75" customHeight="1">
      <c r="F958" s="4"/>
      <c r="J958" s="4"/>
    </row>
    <row r="959" spans="6:10" ht="15.75" customHeight="1">
      <c r="F959" s="4"/>
      <c r="J959" s="4"/>
    </row>
    <row r="960" spans="6:10" ht="15.75" customHeight="1">
      <c r="F960" s="4"/>
      <c r="J960" s="4"/>
    </row>
    <row r="961" spans="6:10" ht="15.75" customHeight="1">
      <c r="F961" s="4"/>
      <c r="J961" s="4"/>
    </row>
    <row r="962" spans="6:10" ht="15.75" customHeight="1">
      <c r="F962" s="4"/>
      <c r="J962" s="4"/>
    </row>
    <row r="963" spans="6:10" ht="15.75" customHeight="1">
      <c r="F963" s="4"/>
      <c r="J963" s="4"/>
    </row>
    <row r="964" spans="6:10" ht="15.75" customHeight="1">
      <c r="F964" s="4"/>
      <c r="J964" s="4"/>
    </row>
    <row r="965" spans="6:10" ht="15.75" customHeight="1">
      <c r="F965" s="4"/>
      <c r="J965" s="4"/>
    </row>
    <row r="966" spans="6:10" ht="15.75" customHeight="1">
      <c r="F966" s="4"/>
      <c r="J966" s="4"/>
    </row>
    <row r="967" spans="6:10" ht="15.75" customHeight="1">
      <c r="F967" s="4"/>
      <c r="J967" s="4"/>
    </row>
    <row r="968" spans="6:10" ht="15.75" customHeight="1">
      <c r="F968" s="4"/>
      <c r="J968" s="4"/>
    </row>
    <row r="969" spans="6:10" ht="15.75" customHeight="1">
      <c r="F969" s="4"/>
      <c r="J969" s="4"/>
    </row>
    <row r="970" spans="6:10" ht="15.75" customHeight="1">
      <c r="F970" s="4"/>
      <c r="J970" s="4"/>
    </row>
    <row r="971" spans="6:10" ht="15.75" customHeight="1">
      <c r="F971" s="4"/>
      <c r="J971" s="4"/>
    </row>
    <row r="972" spans="6:10" ht="15.75" customHeight="1">
      <c r="F972" s="4"/>
      <c r="J972" s="4"/>
    </row>
    <row r="973" spans="6:10" ht="15.75" customHeight="1">
      <c r="F973" s="4"/>
      <c r="J973" s="4"/>
    </row>
    <row r="974" spans="6:10" ht="15.75" customHeight="1">
      <c r="F974" s="4"/>
      <c r="J974" s="4"/>
    </row>
    <row r="975" spans="6:10" ht="15.75" customHeight="1">
      <c r="F975" s="4"/>
      <c r="J975" s="4"/>
    </row>
    <row r="976" spans="6:10" ht="15.75" customHeight="1">
      <c r="F976" s="4"/>
      <c r="J976" s="4"/>
    </row>
    <row r="977" spans="6:10" ht="15.75" customHeight="1">
      <c r="F977" s="4"/>
      <c r="J977" s="4"/>
    </row>
    <row r="978" spans="6:10" ht="15.75" customHeight="1">
      <c r="F978" s="4"/>
      <c r="J978" s="4"/>
    </row>
    <row r="979" spans="6:10" ht="15.75" customHeight="1">
      <c r="F979" s="4"/>
      <c r="J979" s="4"/>
    </row>
    <row r="980" spans="6:10" ht="15.75" customHeight="1">
      <c r="F980" s="4"/>
      <c r="J980" s="4"/>
    </row>
    <row r="981" spans="6:10" ht="15.75" customHeight="1">
      <c r="F981" s="4"/>
      <c r="J981" s="4"/>
    </row>
    <row r="982" spans="6:10" ht="15.75" customHeight="1">
      <c r="F982" s="4"/>
      <c r="J982" s="4"/>
    </row>
    <row r="983" spans="6:10" ht="15.75" customHeight="1">
      <c r="F983" s="4"/>
      <c r="J983" s="4"/>
    </row>
    <row r="984" spans="6:10" ht="15.75" customHeight="1">
      <c r="F984" s="4"/>
      <c r="J984" s="4"/>
    </row>
    <row r="985" spans="6:10" ht="15.75" customHeight="1">
      <c r="F985" s="4"/>
      <c r="J985" s="4"/>
    </row>
    <row r="986" spans="6:10" ht="15.75" customHeight="1">
      <c r="F986" s="4"/>
      <c r="J986" s="4"/>
    </row>
    <row r="987" spans="6:10" ht="15.75" customHeight="1">
      <c r="F987" s="4"/>
      <c r="J987" s="4"/>
    </row>
    <row r="988" spans="6:10" ht="15.75" customHeight="1">
      <c r="F988" s="4"/>
      <c r="J988" s="4"/>
    </row>
    <row r="989" spans="6:10" ht="15.75" customHeight="1">
      <c r="F989" s="4"/>
      <c r="J989" s="4"/>
    </row>
    <row r="990" spans="6:10" ht="15.75" customHeight="1">
      <c r="F990" s="4"/>
      <c r="J990" s="4"/>
    </row>
    <row r="991" spans="6:10" ht="15.75" customHeight="1">
      <c r="F991" s="4"/>
      <c r="J991" s="4"/>
    </row>
    <row r="992" spans="6:10" ht="15.75" customHeight="1">
      <c r="F992" s="4"/>
      <c r="J992" s="4"/>
    </row>
    <row r="993" spans="6:10" ht="15.75" customHeight="1">
      <c r="F993" s="4"/>
      <c r="J993" s="4"/>
    </row>
    <row r="994" spans="6:10" ht="15.75" customHeight="1">
      <c r="F994" s="4"/>
      <c r="J994" s="4"/>
    </row>
    <row r="995" spans="6:10" ht="15.75" customHeight="1">
      <c r="F995" s="4"/>
      <c r="J995" s="4"/>
    </row>
    <row r="996" spans="6:10" ht="15.75" customHeight="1">
      <c r="F996" s="4"/>
      <c r="J996" s="4"/>
    </row>
    <row r="997" spans="6:10" ht="15.75" customHeight="1">
      <c r="F997" s="4"/>
      <c r="J997" s="4"/>
    </row>
    <row r="998" spans="6:10" ht="15.75" customHeight="1">
      <c r="F998" s="4"/>
      <c r="J998" s="4"/>
    </row>
    <row r="999" spans="6:10" ht="15.75" customHeight="1">
      <c r="F999" s="4"/>
      <c r="J999" s="4"/>
    </row>
    <row r="1000" spans="6:10" ht="15.75" customHeight="1">
      <c r="F1000" s="4"/>
      <c r="J1000" s="4"/>
    </row>
  </sheetData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seilj</dc:creator>
  <cp:keywords/>
  <dc:description/>
  <cp:lastModifiedBy>Sindre Jacobsen</cp:lastModifiedBy>
  <cp:revision/>
  <dcterms:created xsi:type="dcterms:W3CDTF">2022-01-10T10:06:00Z</dcterms:created>
  <dcterms:modified xsi:type="dcterms:W3CDTF">2026-01-01T16:17:07Z</dcterms:modified>
  <cp:category/>
  <cp:contentStatus/>
</cp:coreProperties>
</file>